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13_ncr:1_{EF6454B3-73BB-47B4-B5E3-C6352E99DB27}" xr6:coauthVersionLast="47" xr6:coauthVersionMax="47" xr10:uidLastSave="{00000000-0000-0000-0000-000000000000}"/>
  <bookViews>
    <workbookView xWindow="-108" yWindow="-108" windowWidth="23256" windowHeight="12456" activeTab="5" xr2:uid="{95EC4E86-DF69-4765-BA95-1CFEC5D309AF}"/>
  </bookViews>
  <sheets>
    <sheet name="Sheet1" sheetId="1" r:id="rId1"/>
    <sheet name="Sheet2" sheetId="2" r:id="rId2"/>
    <sheet name="Sheet3" sheetId="3" r:id="rId3"/>
    <sheet name="Chart1" sheetId="5" r:id="rId4"/>
    <sheet name="Sheet4" sheetId="4" r:id="rId5"/>
    <sheet name="Sheet5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2" i="6"/>
  <c r="K8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55" i="2"/>
  <c r="J8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55" i="2"/>
  <c r="I8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55" i="2"/>
  <c r="I3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" i="2"/>
  <c r="H3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" i="2"/>
  <c r="G3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" i="2"/>
  <c r="J13" i="4"/>
  <c r="J4" i="4"/>
  <c r="J5" i="4"/>
  <c r="J6" i="4"/>
  <c r="J7" i="4"/>
  <c r="J8" i="4"/>
  <c r="J9" i="4"/>
  <c r="J10" i="4"/>
  <c r="J11" i="4"/>
  <c r="J12" i="4"/>
  <c r="J3" i="4"/>
  <c r="I13" i="4"/>
  <c r="I4" i="4"/>
  <c r="I5" i="4"/>
  <c r="I6" i="4"/>
  <c r="I7" i="4"/>
  <c r="I8" i="4"/>
  <c r="I9" i="4"/>
  <c r="I10" i="4"/>
  <c r="I11" i="4"/>
  <c r="I12" i="4"/>
  <c r="I3" i="4"/>
  <c r="H13" i="4"/>
  <c r="H4" i="4"/>
  <c r="H5" i="4"/>
  <c r="H6" i="4"/>
  <c r="H7" i="4"/>
  <c r="H8" i="4"/>
  <c r="H9" i="4"/>
  <c r="H10" i="4"/>
  <c r="H11" i="4"/>
  <c r="H12" i="4"/>
  <c r="H3" i="4"/>
  <c r="N16" i="3"/>
  <c r="N7" i="3"/>
  <c r="N8" i="3"/>
  <c r="N9" i="3"/>
  <c r="N10" i="3"/>
  <c r="N11" i="3"/>
  <c r="N12" i="3"/>
  <c r="N13" i="3"/>
  <c r="N14" i="3"/>
  <c r="N15" i="3"/>
  <c r="N6" i="3"/>
  <c r="M16" i="3"/>
  <c r="M7" i="3"/>
  <c r="M8" i="3"/>
  <c r="M9" i="3"/>
  <c r="M10" i="3"/>
  <c r="M11" i="3"/>
  <c r="M12" i="3"/>
  <c r="M13" i="3"/>
  <c r="M14" i="3"/>
  <c r="M15" i="3"/>
  <c r="M6" i="3"/>
  <c r="L16" i="3"/>
  <c r="L7" i="3"/>
  <c r="L8" i="3"/>
  <c r="L9" i="3"/>
  <c r="L10" i="3"/>
  <c r="L11" i="3"/>
  <c r="L12" i="3"/>
  <c r="L13" i="3"/>
  <c r="L14" i="3"/>
  <c r="L15" i="3"/>
  <c r="L6" i="3"/>
  <c r="I12" i="1"/>
  <c r="E12" i="1"/>
  <c r="H12" i="1"/>
  <c r="G12" i="1"/>
  <c r="I3" i="1"/>
  <c r="I4" i="1"/>
  <c r="I5" i="1"/>
  <c r="I6" i="1"/>
  <c r="I7" i="1"/>
  <c r="I8" i="1"/>
  <c r="I9" i="1"/>
  <c r="I10" i="1"/>
  <c r="I11" i="1"/>
  <c r="I2" i="1"/>
  <c r="H3" i="1"/>
  <c r="H4" i="1"/>
  <c r="H5" i="1"/>
  <c r="H6" i="1"/>
  <c r="H7" i="1"/>
  <c r="H8" i="1"/>
  <c r="H9" i="1"/>
  <c r="H10" i="1"/>
  <c r="H11" i="1"/>
  <c r="H2" i="1"/>
  <c r="G3" i="1"/>
  <c r="G4" i="1"/>
  <c r="G5" i="1"/>
  <c r="G6" i="1"/>
  <c r="G7" i="1"/>
  <c r="G8" i="1"/>
  <c r="G9" i="1"/>
  <c r="G10" i="1"/>
  <c r="G11" i="1"/>
  <c r="G2" i="1"/>
</calcChain>
</file>

<file path=xl/sharedStrings.xml><?xml version="1.0" encoding="utf-8"?>
<sst xmlns="http://schemas.openxmlformats.org/spreadsheetml/2006/main" count="132" uniqueCount="22">
  <si>
    <t>sub_category</t>
  </si>
  <si>
    <t>sales</t>
  </si>
  <si>
    <t>quantity</t>
  </si>
  <si>
    <t>discount</t>
  </si>
  <si>
    <t>profit</t>
  </si>
  <si>
    <t>shipping_cost</t>
  </si>
  <si>
    <t>Storage</t>
  </si>
  <si>
    <t>Supplies</t>
  </si>
  <si>
    <t>Paper</t>
  </si>
  <si>
    <t>Furnishings</t>
  </si>
  <si>
    <t>Machines</t>
  </si>
  <si>
    <t>Appliances</t>
  </si>
  <si>
    <t>Copiers</t>
  </si>
  <si>
    <t>Chairs</t>
  </si>
  <si>
    <t>Electronic</t>
  </si>
  <si>
    <t>Tablet</t>
  </si>
  <si>
    <t>Exp</t>
  </si>
  <si>
    <t>total-sales</t>
  </si>
  <si>
    <t>actual_sales</t>
  </si>
  <si>
    <t>total_Sale</t>
  </si>
  <si>
    <t>Actual_sale</t>
  </si>
  <si>
    <t>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</si>
</sst>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ont="1" applyFill="1"/>
    <xf numFmtId="0" fontId="0" fillId="3" borderId="0" xfId="0" applyFill="1"/>
    <xf numFmtId="0" fontId="1" fillId="4" borderId="0" xfId="0" applyFont="1" applyFill="1"/>
    <xf numFmtId="0" fontId="0" fillId="5" borderId="0" xfId="0" applyFill="1"/>
    <xf numFmtId="0" fontId="0" fillId="5" borderId="0" xfId="0" applyFont="1" applyFill="1"/>
    <xf numFmtId="0" fontId="0" fillId="2" borderId="0" xfId="0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Sheet4!$C$2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Sheet4!$C$3:$C$32</c:f>
              <c:numCache>
                <c:formatCode>General</c:formatCode>
                <c:ptCount val="30"/>
                <c:pt idx="0">
                  <c:v>408</c:v>
                </c:pt>
                <c:pt idx="1">
                  <c:v>120</c:v>
                </c:pt>
                <c:pt idx="2">
                  <c:v>66</c:v>
                </c:pt>
                <c:pt idx="3">
                  <c:v>45</c:v>
                </c:pt>
                <c:pt idx="4">
                  <c:v>114</c:v>
                </c:pt>
                <c:pt idx="5">
                  <c:v>55</c:v>
                </c:pt>
                <c:pt idx="6">
                  <c:v>314</c:v>
                </c:pt>
                <c:pt idx="7">
                  <c:v>276</c:v>
                </c:pt>
                <c:pt idx="8">
                  <c:v>912</c:v>
                </c:pt>
                <c:pt idx="9">
                  <c:v>667</c:v>
                </c:pt>
                <c:pt idx="10">
                  <c:v>408</c:v>
                </c:pt>
                <c:pt idx="11">
                  <c:v>120</c:v>
                </c:pt>
                <c:pt idx="12">
                  <c:v>66</c:v>
                </c:pt>
                <c:pt idx="13">
                  <c:v>45</c:v>
                </c:pt>
                <c:pt idx="14">
                  <c:v>114</c:v>
                </c:pt>
                <c:pt idx="15">
                  <c:v>55</c:v>
                </c:pt>
                <c:pt idx="16">
                  <c:v>314</c:v>
                </c:pt>
                <c:pt idx="17">
                  <c:v>276</c:v>
                </c:pt>
                <c:pt idx="18">
                  <c:v>912</c:v>
                </c:pt>
                <c:pt idx="19">
                  <c:v>667</c:v>
                </c:pt>
                <c:pt idx="20">
                  <c:v>408</c:v>
                </c:pt>
                <c:pt idx="21">
                  <c:v>120</c:v>
                </c:pt>
                <c:pt idx="22">
                  <c:v>66</c:v>
                </c:pt>
                <c:pt idx="23">
                  <c:v>45</c:v>
                </c:pt>
                <c:pt idx="24">
                  <c:v>114</c:v>
                </c:pt>
                <c:pt idx="25">
                  <c:v>55</c:v>
                </c:pt>
                <c:pt idx="26">
                  <c:v>314</c:v>
                </c:pt>
                <c:pt idx="27">
                  <c:v>276</c:v>
                </c:pt>
                <c:pt idx="28">
                  <c:v>912</c:v>
                </c:pt>
                <c:pt idx="29">
                  <c:v>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A-44D1-8F36-FE02D537CE9F}"/>
            </c:ext>
          </c:extLst>
        </c:ser>
        <c:ser>
          <c:idx val="1"/>
          <c:order val="1"/>
          <c:tx>
            <c:strRef>
              <c:f>Sheet4!$D$2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Sheet4!$D$3:$D$32</c:f>
              <c:numCache>
                <c:formatCode>General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5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A-44D1-8F36-FE02D537CE9F}"/>
            </c:ext>
          </c:extLst>
        </c:ser>
        <c:ser>
          <c:idx val="2"/>
          <c:order val="2"/>
          <c:tx>
            <c:strRef>
              <c:f>Sheet4!$E$2</c:f>
              <c:strCache>
                <c:ptCount val="1"/>
                <c:pt idx="0">
                  <c:v>discount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Sheet4!$E$3:$E$32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0.1</c:v>
                </c:pt>
                <c:pt idx="8">
                  <c:v>0.4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</c:v>
                </c:pt>
                <c:pt idx="13">
                  <c:v>0.5</c:v>
                </c:pt>
                <c:pt idx="14">
                  <c:v>0.1</c:v>
                </c:pt>
                <c:pt idx="15">
                  <c:v>0.1</c:v>
                </c:pt>
                <c:pt idx="16">
                  <c:v>0</c:v>
                </c:pt>
                <c:pt idx="17">
                  <c:v>0.1</c:v>
                </c:pt>
                <c:pt idx="18">
                  <c:v>0.4</c:v>
                </c:pt>
                <c:pt idx="19">
                  <c:v>0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0.5</c:v>
                </c:pt>
                <c:pt idx="24">
                  <c:v>0.1</c:v>
                </c:pt>
                <c:pt idx="25">
                  <c:v>0.1</c:v>
                </c:pt>
                <c:pt idx="26">
                  <c:v>0</c:v>
                </c:pt>
                <c:pt idx="27">
                  <c:v>0.1</c:v>
                </c:pt>
                <c:pt idx="28">
                  <c:v>0.4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CA-44D1-8F36-FE02D537CE9F}"/>
            </c:ext>
          </c:extLst>
        </c:ser>
        <c:ser>
          <c:idx val="3"/>
          <c:order val="3"/>
          <c:tx>
            <c:strRef>
              <c:f>Sheet4!$F$2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Sheet4!$F$3:$F$32</c:f>
              <c:numCache>
                <c:formatCode>General</c:formatCode>
                <c:ptCount val="30"/>
                <c:pt idx="0">
                  <c:v>106.14</c:v>
                </c:pt>
                <c:pt idx="1">
                  <c:v>36.036000000000001</c:v>
                </c:pt>
                <c:pt idx="2">
                  <c:v>29.64</c:v>
                </c:pt>
                <c:pt idx="3">
                  <c:v>-26.055</c:v>
                </c:pt>
                <c:pt idx="4">
                  <c:v>37.770000000000003</c:v>
                </c:pt>
                <c:pt idx="5">
                  <c:v>15.342000000000001</c:v>
                </c:pt>
                <c:pt idx="6">
                  <c:v>3.12</c:v>
                </c:pt>
                <c:pt idx="7">
                  <c:v>110.41200000000001</c:v>
                </c:pt>
                <c:pt idx="8">
                  <c:v>-319.464</c:v>
                </c:pt>
                <c:pt idx="9">
                  <c:v>253.32</c:v>
                </c:pt>
                <c:pt idx="10">
                  <c:v>106.14</c:v>
                </c:pt>
                <c:pt idx="11">
                  <c:v>36.036000000000001</c:v>
                </c:pt>
                <c:pt idx="12">
                  <c:v>29.64</c:v>
                </c:pt>
                <c:pt idx="13">
                  <c:v>-26.055</c:v>
                </c:pt>
                <c:pt idx="14">
                  <c:v>37.770000000000003</c:v>
                </c:pt>
                <c:pt idx="15">
                  <c:v>15.342000000000001</c:v>
                </c:pt>
                <c:pt idx="16">
                  <c:v>3.12</c:v>
                </c:pt>
                <c:pt idx="17">
                  <c:v>110.41200000000001</c:v>
                </c:pt>
                <c:pt idx="18">
                  <c:v>-319.464</c:v>
                </c:pt>
                <c:pt idx="19">
                  <c:v>253.32</c:v>
                </c:pt>
                <c:pt idx="20">
                  <c:v>106.14</c:v>
                </c:pt>
                <c:pt idx="21">
                  <c:v>36.036000000000001</c:v>
                </c:pt>
                <c:pt idx="22">
                  <c:v>29.64</c:v>
                </c:pt>
                <c:pt idx="23">
                  <c:v>-26.055</c:v>
                </c:pt>
                <c:pt idx="24">
                  <c:v>37.770000000000003</c:v>
                </c:pt>
                <c:pt idx="25">
                  <c:v>15.342000000000001</c:v>
                </c:pt>
                <c:pt idx="26">
                  <c:v>3.12</c:v>
                </c:pt>
                <c:pt idx="27">
                  <c:v>110.41200000000001</c:v>
                </c:pt>
                <c:pt idx="28">
                  <c:v>-319.464</c:v>
                </c:pt>
                <c:pt idx="29">
                  <c:v>253.32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CA-44D1-8F36-FE02D537CE9F}"/>
            </c:ext>
          </c:extLst>
        </c:ser>
        <c:ser>
          <c:idx val="4"/>
          <c:order val="4"/>
          <c:tx>
            <c:strRef>
              <c:f>Sheet4!$G$2</c:f>
              <c:strCache>
                <c:ptCount val="1"/>
                <c:pt idx="0">
                  <c:v>shipping_cost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Sheet4!$G$3:$G$32</c:f>
              <c:numCache>
                <c:formatCode>General</c:formatCode>
                <c:ptCount val="30"/>
                <c:pt idx="0">
                  <c:v>35.46</c:v>
                </c:pt>
                <c:pt idx="1">
                  <c:v>9.7200000000000006</c:v>
                </c:pt>
                <c:pt idx="2">
                  <c:v>8.17</c:v>
                </c:pt>
                <c:pt idx="3">
                  <c:v>4.82</c:v>
                </c:pt>
                <c:pt idx="4">
                  <c:v>4.7</c:v>
                </c:pt>
                <c:pt idx="5">
                  <c:v>1.8</c:v>
                </c:pt>
                <c:pt idx="6">
                  <c:v>24.1</c:v>
                </c:pt>
                <c:pt idx="7">
                  <c:v>125.32</c:v>
                </c:pt>
                <c:pt idx="8">
                  <c:v>107.1</c:v>
                </c:pt>
                <c:pt idx="9">
                  <c:v>81.260000000000005</c:v>
                </c:pt>
                <c:pt idx="10">
                  <c:v>35.46</c:v>
                </c:pt>
                <c:pt idx="11">
                  <c:v>9.7200000000000006</c:v>
                </c:pt>
                <c:pt idx="12">
                  <c:v>8.17</c:v>
                </c:pt>
                <c:pt idx="13">
                  <c:v>4.82</c:v>
                </c:pt>
                <c:pt idx="14">
                  <c:v>4.7</c:v>
                </c:pt>
                <c:pt idx="15">
                  <c:v>1.8</c:v>
                </c:pt>
                <c:pt idx="16">
                  <c:v>24.1</c:v>
                </c:pt>
                <c:pt idx="17">
                  <c:v>125.32</c:v>
                </c:pt>
                <c:pt idx="18">
                  <c:v>107.1</c:v>
                </c:pt>
                <c:pt idx="19">
                  <c:v>81.260000000000005</c:v>
                </c:pt>
                <c:pt idx="20">
                  <c:v>35.46</c:v>
                </c:pt>
                <c:pt idx="21">
                  <c:v>9.7200000000000006</c:v>
                </c:pt>
                <c:pt idx="22">
                  <c:v>8.17</c:v>
                </c:pt>
                <c:pt idx="23">
                  <c:v>4.82</c:v>
                </c:pt>
                <c:pt idx="24">
                  <c:v>4.7</c:v>
                </c:pt>
                <c:pt idx="25">
                  <c:v>1.8</c:v>
                </c:pt>
                <c:pt idx="26">
                  <c:v>24.1</c:v>
                </c:pt>
                <c:pt idx="27">
                  <c:v>125.32</c:v>
                </c:pt>
                <c:pt idx="28">
                  <c:v>107.1</c:v>
                </c:pt>
                <c:pt idx="29">
                  <c:v>81.260000000000005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CA-44D1-8F36-FE02D537CE9F}"/>
            </c:ext>
          </c:extLst>
        </c:ser>
        <c:ser>
          <c:idx val="5"/>
          <c:order val="5"/>
          <c:tx>
            <c:strRef>
              <c:f>Sheet4!$H$2</c:f>
              <c:strCache>
                <c:ptCount val="1"/>
                <c:pt idx="0">
                  <c:v>total_Sale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Sheet4!$H$3:$H$32</c:f>
              <c:numCache>
                <c:formatCode>General</c:formatCode>
                <c:ptCount val="30"/>
                <c:pt idx="0">
                  <c:v>816</c:v>
                </c:pt>
                <c:pt idx="1">
                  <c:v>360</c:v>
                </c:pt>
                <c:pt idx="2">
                  <c:v>264</c:v>
                </c:pt>
                <c:pt idx="3">
                  <c:v>135</c:v>
                </c:pt>
                <c:pt idx="4">
                  <c:v>570</c:v>
                </c:pt>
                <c:pt idx="5">
                  <c:v>110</c:v>
                </c:pt>
                <c:pt idx="6">
                  <c:v>314</c:v>
                </c:pt>
                <c:pt idx="7">
                  <c:v>276</c:v>
                </c:pt>
                <c:pt idx="8">
                  <c:v>3648</c:v>
                </c:pt>
                <c:pt idx="9">
                  <c:v>2668</c:v>
                </c:pt>
                <c:pt idx="10">
                  <c:v>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CA-44D1-8F36-FE02D537CE9F}"/>
            </c:ext>
          </c:extLst>
        </c:ser>
        <c:ser>
          <c:idx val="6"/>
          <c:order val="6"/>
          <c:tx>
            <c:strRef>
              <c:f>Sheet4!$I$2</c:f>
              <c:strCache>
                <c:ptCount val="1"/>
                <c:pt idx="0">
                  <c:v>Actual_sale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Sheet4!$I$3:$I$32</c:f>
              <c:numCache>
                <c:formatCode>General</c:formatCode>
                <c:ptCount val="30"/>
                <c:pt idx="0">
                  <c:v>780.54</c:v>
                </c:pt>
                <c:pt idx="1">
                  <c:v>350.28</c:v>
                </c:pt>
                <c:pt idx="2">
                  <c:v>255.83</c:v>
                </c:pt>
                <c:pt idx="3">
                  <c:v>130.18</c:v>
                </c:pt>
                <c:pt idx="4">
                  <c:v>565.29999999999995</c:v>
                </c:pt>
                <c:pt idx="5">
                  <c:v>108.2</c:v>
                </c:pt>
                <c:pt idx="6">
                  <c:v>289.89999999999998</c:v>
                </c:pt>
                <c:pt idx="7">
                  <c:v>150.68</c:v>
                </c:pt>
                <c:pt idx="8">
                  <c:v>3540.9</c:v>
                </c:pt>
                <c:pt idx="9">
                  <c:v>2586.7399999999998</c:v>
                </c:pt>
                <c:pt idx="10">
                  <c:v>8758.5499999999993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CA-44D1-8F36-FE02D537CE9F}"/>
            </c:ext>
          </c:extLst>
        </c:ser>
        <c:ser>
          <c:idx val="7"/>
          <c:order val="7"/>
          <c:tx>
            <c:strRef>
              <c:f>Sheet4!$J$2</c:f>
              <c:strCache>
                <c:ptCount val="1"/>
                <c:pt idx="0">
                  <c:v>EXP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Sheet4!$B$3:$B$32</c:f>
              <c:strCache>
                <c:ptCount val="30"/>
                <c:pt idx="0">
                  <c:v>Storage</c:v>
                </c:pt>
                <c:pt idx="1">
                  <c:v>Supplies</c:v>
                </c:pt>
                <c:pt idx="2">
                  <c:v>Electronic</c:v>
                </c:pt>
                <c:pt idx="3">
                  <c:v>Tablet</c:v>
                </c:pt>
                <c:pt idx="4">
                  <c:v>Furnishings</c:v>
                </c:pt>
                <c:pt idx="5">
                  <c:v>Paper</c:v>
                </c:pt>
                <c:pt idx="6">
                  <c:v>Machines</c:v>
                </c:pt>
                <c:pt idx="7">
                  <c:v>Appliances</c:v>
                </c:pt>
                <c:pt idx="8">
                  <c:v>Copiers</c:v>
                </c:pt>
                <c:pt idx="9">
                  <c:v>Chairs</c:v>
                </c:pt>
                <c:pt idx="10">
                  <c:v>Storage</c:v>
                </c:pt>
                <c:pt idx="11">
                  <c:v>Supplies</c:v>
                </c:pt>
                <c:pt idx="12">
                  <c:v>Electronic</c:v>
                </c:pt>
                <c:pt idx="13">
                  <c:v>Tablet</c:v>
                </c:pt>
                <c:pt idx="14">
                  <c:v>Furnishings</c:v>
                </c:pt>
                <c:pt idx="15">
                  <c:v>Paper</c:v>
                </c:pt>
                <c:pt idx="16">
                  <c:v>Machines</c:v>
                </c:pt>
                <c:pt idx="17">
                  <c:v>Appliances</c:v>
                </c:pt>
                <c:pt idx="18">
                  <c:v>Copiers</c:v>
                </c:pt>
                <c:pt idx="19">
                  <c:v>Chairs</c:v>
                </c:pt>
                <c:pt idx="20">
                  <c:v>Storage</c:v>
                </c:pt>
                <c:pt idx="21">
                  <c:v>Supplies</c:v>
                </c:pt>
                <c:pt idx="22">
                  <c:v>Electronic</c:v>
                </c:pt>
                <c:pt idx="23">
                  <c:v>Tablet</c:v>
                </c:pt>
                <c:pt idx="24">
                  <c:v>Furnishings</c:v>
                </c:pt>
                <c:pt idx="25">
                  <c:v>Paper</c:v>
                </c:pt>
                <c:pt idx="26">
                  <c:v>Machines</c:v>
                </c:pt>
                <c:pt idx="27">
                  <c:v>Appliances</c:v>
                </c:pt>
                <c:pt idx="28">
                  <c:v>Copiers</c:v>
                </c:pt>
                <c:pt idx="29">
                  <c:v>Chairs</c:v>
                </c:pt>
              </c:strCache>
            </c:strRef>
          </c:cat>
          <c:val>
            <c:numRef>
              <c:f>Sheet4!$J$3:$J$32</c:f>
              <c:numCache>
                <c:formatCode>General</c:formatCode>
                <c:ptCount val="30"/>
                <c:pt idx="0">
                  <c:v>674.4</c:v>
                </c:pt>
                <c:pt idx="1">
                  <c:v>314.24399999999997</c:v>
                </c:pt>
                <c:pt idx="2">
                  <c:v>226.19</c:v>
                </c:pt>
                <c:pt idx="3">
                  <c:v>156.23500000000001</c:v>
                </c:pt>
                <c:pt idx="4">
                  <c:v>527.53</c:v>
                </c:pt>
                <c:pt idx="5">
                  <c:v>92.858000000000004</c:v>
                </c:pt>
                <c:pt idx="6">
                  <c:v>286.77999999999997</c:v>
                </c:pt>
                <c:pt idx="7">
                  <c:v>40.268000000000001</c:v>
                </c:pt>
                <c:pt idx="8">
                  <c:v>3860.364</c:v>
                </c:pt>
                <c:pt idx="9">
                  <c:v>2333.4199999999996</c:v>
                </c:pt>
                <c:pt idx="10">
                  <c:v>8512.2890000000007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CA-44D1-8F36-FE02D537C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373871"/>
        <c:axId val="694377711"/>
      </c:barChart>
      <c:catAx>
        <c:axId val="6943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377711"/>
        <c:crosses val="autoZero"/>
        <c:auto val="1"/>
        <c:lblAlgn val="ctr"/>
        <c:lblOffset val="100"/>
        <c:noMultiLvlLbl val="0"/>
      </c:catAx>
      <c:valAx>
        <c:axId val="69437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37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D7FBC14-4691-416B-874D-6A4AEFEBA7BE}">
  <sheetPr codeName="Chart5"/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22" cy="62796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6ED5EC-5DDA-93A3-6E45-57E8B479B2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01D14-EFB2-4FAF-AB24-AF95F2414C98}">
  <sheetPr codeName="Sheet1"/>
  <dimension ref="A1:I12"/>
  <sheetViews>
    <sheetView zoomScale="130" zoomScaleNormal="130" workbookViewId="0">
      <selection sqref="A1:F11"/>
    </sheetView>
  </sheetViews>
  <sheetFormatPr defaultRowHeight="15.6" x14ac:dyDescent="0.3"/>
  <cols>
    <col min="1" max="1" width="11.8984375" bestFit="1" customWidth="1"/>
    <col min="3" max="3" width="7.796875" bestFit="1" customWidth="1"/>
    <col min="4" max="4" width="8.19921875" bestFit="1" customWidth="1"/>
    <col min="6" max="6" width="12.5" bestFit="1" customWidth="1"/>
    <col min="8" max="8" width="11.296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17</v>
      </c>
      <c r="H1" s="1" t="s">
        <v>18</v>
      </c>
      <c r="I1" s="1" t="s">
        <v>16</v>
      </c>
    </row>
    <row r="2" spans="1:9" x14ac:dyDescent="0.3">
      <c r="A2" s="1" t="s">
        <v>6</v>
      </c>
      <c r="B2">
        <v>408</v>
      </c>
      <c r="C2">
        <v>2</v>
      </c>
      <c r="D2">
        <v>0</v>
      </c>
      <c r="E2">
        <v>106.14</v>
      </c>
      <c r="F2">
        <v>35.46</v>
      </c>
      <c r="G2">
        <f>B2*C2</f>
        <v>816</v>
      </c>
      <c r="H2">
        <f>G2-F2</f>
        <v>780.54</v>
      </c>
      <c r="I2">
        <f>H2-E2</f>
        <v>674.4</v>
      </c>
    </row>
    <row r="3" spans="1:9" x14ac:dyDescent="0.3">
      <c r="A3" s="1" t="s">
        <v>7</v>
      </c>
      <c r="B3">
        <v>120</v>
      </c>
      <c r="C3">
        <v>3</v>
      </c>
      <c r="D3">
        <v>0.1</v>
      </c>
      <c r="E3">
        <v>36.036000000000001</v>
      </c>
      <c r="F3">
        <v>9.7200000000000006</v>
      </c>
      <c r="G3">
        <f t="shared" ref="G3:G11" si="0">B3*C3</f>
        <v>360</v>
      </c>
      <c r="H3">
        <f t="shared" ref="H3:H11" si="1">G3-F3</f>
        <v>350.28</v>
      </c>
      <c r="I3">
        <f t="shared" ref="I3:I11" si="2">H3-E3</f>
        <v>314.24399999999997</v>
      </c>
    </row>
    <row r="4" spans="1:9" x14ac:dyDescent="0.3">
      <c r="A4" s="1" t="s">
        <v>14</v>
      </c>
      <c r="B4">
        <v>66</v>
      </c>
      <c r="C4">
        <v>4</v>
      </c>
      <c r="D4">
        <v>0</v>
      </c>
      <c r="E4">
        <v>29.64</v>
      </c>
      <c r="F4">
        <v>8.17</v>
      </c>
      <c r="G4">
        <f t="shared" si="0"/>
        <v>264</v>
      </c>
      <c r="H4">
        <f t="shared" si="1"/>
        <v>255.83</v>
      </c>
      <c r="I4">
        <f t="shared" si="2"/>
        <v>226.19</v>
      </c>
    </row>
    <row r="5" spans="1:9" x14ac:dyDescent="0.3">
      <c r="A5" s="1" t="s">
        <v>15</v>
      </c>
      <c r="B5">
        <v>45</v>
      </c>
      <c r="C5">
        <v>3</v>
      </c>
      <c r="D5">
        <v>0.5</v>
      </c>
      <c r="E5">
        <v>-26.055</v>
      </c>
      <c r="F5">
        <v>4.82</v>
      </c>
      <c r="G5">
        <f t="shared" si="0"/>
        <v>135</v>
      </c>
      <c r="H5">
        <f t="shared" si="1"/>
        <v>130.18</v>
      </c>
      <c r="I5">
        <f t="shared" si="2"/>
        <v>156.23500000000001</v>
      </c>
    </row>
    <row r="6" spans="1:9" x14ac:dyDescent="0.3">
      <c r="A6" s="1" t="s">
        <v>9</v>
      </c>
      <c r="B6">
        <v>114</v>
      </c>
      <c r="C6">
        <v>5</v>
      </c>
      <c r="D6">
        <v>0.1</v>
      </c>
      <c r="E6">
        <v>37.770000000000003</v>
      </c>
      <c r="F6">
        <v>4.7</v>
      </c>
      <c r="G6">
        <f t="shared" si="0"/>
        <v>570</v>
      </c>
      <c r="H6">
        <f t="shared" si="1"/>
        <v>565.29999999999995</v>
      </c>
      <c r="I6">
        <f t="shared" si="2"/>
        <v>527.53</v>
      </c>
    </row>
    <row r="7" spans="1:9" x14ac:dyDescent="0.3">
      <c r="A7" s="1" t="s">
        <v>8</v>
      </c>
      <c r="B7">
        <v>55</v>
      </c>
      <c r="C7">
        <v>2</v>
      </c>
      <c r="D7">
        <v>0.1</v>
      </c>
      <c r="E7">
        <v>15.342000000000001</v>
      </c>
      <c r="F7">
        <v>1.8</v>
      </c>
      <c r="G7">
        <f t="shared" si="0"/>
        <v>110</v>
      </c>
      <c r="H7">
        <f t="shared" si="1"/>
        <v>108.2</v>
      </c>
      <c r="I7">
        <f t="shared" si="2"/>
        <v>92.858000000000004</v>
      </c>
    </row>
    <row r="8" spans="1:9" x14ac:dyDescent="0.3">
      <c r="A8" s="1" t="s">
        <v>10</v>
      </c>
      <c r="B8">
        <v>314</v>
      </c>
      <c r="C8">
        <v>1</v>
      </c>
      <c r="D8">
        <v>0</v>
      </c>
      <c r="E8">
        <v>3.12</v>
      </c>
      <c r="F8">
        <v>24.1</v>
      </c>
      <c r="G8">
        <f t="shared" si="0"/>
        <v>314</v>
      </c>
      <c r="H8">
        <f t="shared" si="1"/>
        <v>289.89999999999998</v>
      </c>
      <c r="I8">
        <f t="shared" si="2"/>
        <v>286.77999999999997</v>
      </c>
    </row>
    <row r="9" spans="1:9" x14ac:dyDescent="0.3">
      <c r="A9" s="1" t="s">
        <v>11</v>
      </c>
      <c r="B9">
        <v>276</v>
      </c>
      <c r="C9">
        <v>1</v>
      </c>
      <c r="D9">
        <v>0.1</v>
      </c>
      <c r="E9">
        <v>110.41200000000001</v>
      </c>
      <c r="F9">
        <v>125.32</v>
      </c>
      <c r="G9">
        <f t="shared" si="0"/>
        <v>276</v>
      </c>
      <c r="H9">
        <f t="shared" si="1"/>
        <v>150.68</v>
      </c>
      <c r="I9">
        <f t="shared" si="2"/>
        <v>40.268000000000001</v>
      </c>
    </row>
    <row r="10" spans="1:9" x14ac:dyDescent="0.3">
      <c r="A10" s="1" t="s">
        <v>12</v>
      </c>
      <c r="B10">
        <v>912</v>
      </c>
      <c r="C10">
        <v>4</v>
      </c>
      <c r="D10">
        <v>0.4</v>
      </c>
      <c r="E10">
        <v>-319.464</v>
      </c>
      <c r="F10">
        <v>107.1</v>
      </c>
      <c r="G10">
        <f t="shared" si="0"/>
        <v>3648</v>
      </c>
      <c r="H10">
        <f t="shared" si="1"/>
        <v>3540.9</v>
      </c>
      <c r="I10">
        <f t="shared" si="2"/>
        <v>3860.364</v>
      </c>
    </row>
    <row r="11" spans="1:9" x14ac:dyDescent="0.3">
      <c r="A11" s="1" t="s">
        <v>13</v>
      </c>
      <c r="B11">
        <v>667</v>
      </c>
      <c r="C11">
        <v>4</v>
      </c>
      <c r="D11">
        <v>0</v>
      </c>
      <c r="E11">
        <v>253.32</v>
      </c>
      <c r="F11">
        <v>81.260000000000005</v>
      </c>
      <c r="G11">
        <f t="shared" si="0"/>
        <v>2668</v>
      </c>
      <c r="H11">
        <f t="shared" si="1"/>
        <v>2586.7399999999998</v>
      </c>
      <c r="I11">
        <f t="shared" si="2"/>
        <v>2333.4199999999996</v>
      </c>
    </row>
    <row r="12" spans="1:9" x14ac:dyDescent="0.3">
      <c r="E12" s="1">
        <f>SUM(E2:E11)</f>
        <v>246.26099999999997</v>
      </c>
      <c r="F12" s="1"/>
      <c r="G12" s="1">
        <f>SUM(G2:G11)</f>
        <v>9161</v>
      </c>
      <c r="H12" s="1">
        <f>SUM(H2:H11)</f>
        <v>8758.5499999999993</v>
      </c>
      <c r="I12" s="1">
        <f>SUM(I2:I11)</f>
        <v>8512.2890000000007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8228-B3BF-41B4-8677-668FB1B69513}">
  <sheetPr codeName="Sheet2"/>
  <dimension ref="A1:K104"/>
  <sheetViews>
    <sheetView zoomScale="115" zoomScaleNormal="115" workbookViewId="0">
      <selection activeCell="K6" sqref="K6"/>
    </sheetView>
  </sheetViews>
  <sheetFormatPr defaultRowHeight="15.6" x14ac:dyDescent="0.3"/>
  <cols>
    <col min="6" max="6" width="12.39843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19</v>
      </c>
      <c r="H1" s="1" t="s">
        <v>20</v>
      </c>
      <c r="I1" s="1" t="s">
        <v>21</v>
      </c>
    </row>
    <row r="2" spans="1:9" x14ac:dyDescent="0.3">
      <c r="A2" s="2" t="s">
        <v>6</v>
      </c>
      <c r="B2">
        <v>408</v>
      </c>
      <c r="C2">
        <v>2</v>
      </c>
      <c r="D2">
        <v>0</v>
      </c>
      <c r="E2">
        <v>106.14</v>
      </c>
      <c r="F2">
        <v>35.46</v>
      </c>
      <c r="G2" s="3" t="s">
        <v>19</v>
      </c>
      <c r="H2" s="3" t="s">
        <v>20</v>
      </c>
      <c r="I2" s="3" t="s">
        <v>21</v>
      </c>
    </row>
    <row r="3" spans="1:9" x14ac:dyDescent="0.3">
      <c r="A3" s="2" t="s">
        <v>7</v>
      </c>
      <c r="B3">
        <v>120</v>
      </c>
      <c r="C3">
        <v>3</v>
      </c>
      <c r="D3">
        <v>0.1</v>
      </c>
      <c r="E3">
        <v>36.036000000000001</v>
      </c>
      <c r="F3">
        <v>9.7200000000000006</v>
      </c>
      <c r="G3" s="3">
        <f>B3*C3</f>
        <v>360</v>
      </c>
      <c r="H3" s="3">
        <f>G3-F3</f>
        <v>350.28</v>
      </c>
      <c r="I3" s="3">
        <f>H3-E3</f>
        <v>314.24399999999997</v>
      </c>
    </row>
    <row r="4" spans="1:9" x14ac:dyDescent="0.3">
      <c r="A4" s="2" t="s">
        <v>14</v>
      </c>
      <c r="B4">
        <v>66</v>
      </c>
      <c r="C4">
        <v>4</v>
      </c>
      <c r="D4">
        <v>0</v>
      </c>
      <c r="E4">
        <v>29.64</v>
      </c>
      <c r="F4">
        <v>8.17</v>
      </c>
      <c r="G4" s="3">
        <f t="shared" ref="G4:G32" si="0">B4*C4</f>
        <v>264</v>
      </c>
      <c r="H4" s="3">
        <f t="shared" ref="H4:H32" si="1">G4-F4</f>
        <v>255.83</v>
      </c>
      <c r="I4" s="3">
        <f t="shared" ref="I4:I32" si="2">H4-E4</f>
        <v>226.19</v>
      </c>
    </row>
    <row r="5" spans="1:9" x14ac:dyDescent="0.3">
      <c r="A5" s="2" t="s">
        <v>15</v>
      </c>
      <c r="B5">
        <v>45</v>
      </c>
      <c r="C5">
        <v>3</v>
      </c>
      <c r="D5">
        <v>0.5</v>
      </c>
      <c r="E5">
        <v>-26.055</v>
      </c>
      <c r="F5">
        <v>4.82</v>
      </c>
      <c r="G5" s="3">
        <f t="shared" si="0"/>
        <v>135</v>
      </c>
      <c r="H5" s="3">
        <f t="shared" si="1"/>
        <v>130.18</v>
      </c>
      <c r="I5" s="3">
        <f t="shared" si="2"/>
        <v>156.23500000000001</v>
      </c>
    </row>
    <row r="6" spans="1:9" x14ac:dyDescent="0.3">
      <c r="A6" s="2" t="s">
        <v>9</v>
      </c>
      <c r="B6">
        <v>114</v>
      </c>
      <c r="C6">
        <v>5</v>
      </c>
      <c r="D6">
        <v>0.1</v>
      </c>
      <c r="E6">
        <v>37.770000000000003</v>
      </c>
      <c r="F6">
        <v>4.7</v>
      </c>
      <c r="G6" s="3">
        <f t="shared" si="0"/>
        <v>570</v>
      </c>
      <c r="H6" s="3">
        <f t="shared" si="1"/>
        <v>565.29999999999995</v>
      </c>
      <c r="I6" s="3">
        <f t="shared" si="2"/>
        <v>527.53</v>
      </c>
    </row>
    <row r="7" spans="1:9" x14ac:dyDescent="0.3">
      <c r="A7" s="2" t="s">
        <v>8</v>
      </c>
      <c r="B7">
        <v>55</v>
      </c>
      <c r="C7">
        <v>2</v>
      </c>
      <c r="D7">
        <v>0.1</v>
      </c>
      <c r="E7">
        <v>15.342000000000001</v>
      </c>
      <c r="F7">
        <v>1.8</v>
      </c>
      <c r="G7" s="3">
        <f t="shared" si="0"/>
        <v>110</v>
      </c>
      <c r="H7" s="3">
        <f t="shared" si="1"/>
        <v>108.2</v>
      </c>
      <c r="I7" s="3">
        <f t="shared" si="2"/>
        <v>92.858000000000004</v>
      </c>
    </row>
    <row r="8" spans="1:9" x14ac:dyDescent="0.3">
      <c r="A8" s="2" t="s">
        <v>10</v>
      </c>
      <c r="B8">
        <v>314</v>
      </c>
      <c r="C8">
        <v>1</v>
      </c>
      <c r="D8">
        <v>0</v>
      </c>
      <c r="E8">
        <v>3.12</v>
      </c>
      <c r="F8">
        <v>24.1</v>
      </c>
      <c r="G8" s="3">
        <f t="shared" si="0"/>
        <v>314</v>
      </c>
      <c r="H8" s="3">
        <f t="shared" si="1"/>
        <v>289.89999999999998</v>
      </c>
      <c r="I8" s="3">
        <f t="shared" si="2"/>
        <v>286.77999999999997</v>
      </c>
    </row>
    <row r="9" spans="1:9" x14ac:dyDescent="0.3">
      <c r="A9" s="2" t="s">
        <v>11</v>
      </c>
      <c r="B9">
        <v>276</v>
      </c>
      <c r="C9">
        <v>1</v>
      </c>
      <c r="D9">
        <v>0.1</v>
      </c>
      <c r="E9">
        <v>110.41200000000001</v>
      </c>
      <c r="F9">
        <v>125.32</v>
      </c>
      <c r="G9" s="3">
        <f t="shared" si="0"/>
        <v>276</v>
      </c>
      <c r="H9" s="3">
        <f t="shared" si="1"/>
        <v>150.68</v>
      </c>
      <c r="I9" s="3">
        <f t="shared" si="2"/>
        <v>40.268000000000001</v>
      </c>
    </row>
    <row r="10" spans="1:9" x14ac:dyDescent="0.3">
      <c r="A10" s="2" t="s">
        <v>12</v>
      </c>
      <c r="B10">
        <v>912</v>
      </c>
      <c r="C10">
        <v>4</v>
      </c>
      <c r="D10">
        <v>0.4</v>
      </c>
      <c r="E10">
        <v>-319.464</v>
      </c>
      <c r="F10">
        <v>107.1</v>
      </c>
      <c r="G10" s="3">
        <f t="shared" si="0"/>
        <v>3648</v>
      </c>
      <c r="H10" s="3">
        <f t="shared" si="1"/>
        <v>3540.9</v>
      </c>
      <c r="I10" s="3">
        <f t="shared" si="2"/>
        <v>3860.364</v>
      </c>
    </row>
    <row r="11" spans="1:9" x14ac:dyDescent="0.3">
      <c r="A11" s="2" t="s">
        <v>13</v>
      </c>
      <c r="B11">
        <v>667</v>
      </c>
      <c r="C11">
        <v>4</v>
      </c>
      <c r="D11">
        <v>0</v>
      </c>
      <c r="E11">
        <v>253.32</v>
      </c>
      <c r="F11">
        <v>81.260000000000005</v>
      </c>
      <c r="G11" s="3">
        <f t="shared" si="0"/>
        <v>2668</v>
      </c>
      <c r="H11" s="3">
        <f t="shared" si="1"/>
        <v>2586.7399999999998</v>
      </c>
      <c r="I11" s="3">
        <f t="shared" si="2"/>
        <v>2333.4199999999996</v>
      </c>
    </row>
    <row r="12" spans="1:9" x14ac:dyDescent="0.3">
      <c r="G12" s="3">
        <f t="shared" si="0"/>
        <v>0</v>
      </c>
      <c r="H12" s="3">
        <f t="shared" si="1"/>
        <v>0</v>
      </c>
      <c r="I12" s="3">
        <f t="shared" si="2"/>
        <v>0</v>
      </c>
    </row>
    <row r="13" spans="1:9" x14ac:dyDescent="0.3">
      <c r="G13" s="3">
        <f t="shared" si="0"/>
        <v>0</v>
      </c>
      <c r="H13" s="3">
        <f t="shared" si="1"/>
        <v>0</v>
      </c>
      <c r="I13" s="3">
        <f t="shared" si="2"/>
        <v>0</v>
      </c>
    </row>
    <row r="14" spans="1:9" x14ac:dyDescent="0.3">
      <c r="G14" s="3">
        <f t="shared" si="0"/>
        <v>0</v>
      </c>
      <c r="H14" s="3">
        <f t="shared" si="1"/>
        <v>0</v>
      </c>
      <c r="I14" s="3">
        <f t="shared" si="2"/>
        <v>0</v>
      </c>
    </row>
    <row r="15" spans="1:9" x14ac:dyDescent="0.3">
      <c r="G15" s="3">
        <f t="shared" si="0"/>
        <v>0</v>
      </c>
      <c r="H15" s="3">
        <f t="shared" si="1"/>
        <v>0</v>
      </c>
      <c r="I15" s="3">
        <f t="shared" si="2"/>
        <v>0</v>
      </c>
    </row>
    <row r="16" spans="1:9" x14ac:dyDescent="0.3">
      <c r="G16" s="3">
        <f t="shared" si="0"/>
        <v>0</v>
      </c>
      <c r="H16" s="3">
        <f t="shared" si="1"/>
        <v>0</v>
      </c>
      <c r="I16" s="3">
        <f t="shared" si="2"/>
        <v>0</v>
      </c>
    </row>
    <row r="17" spans="1:9" x14ac:dyDescent="0.3">
      <c r="G17" s="3">
        <f t="shared" si="0"/>
        <v>0</v>
      </c>
      <c r="H17" s="3">
        <f t="shared" si="1"/>
        <v>0</v>
      </c>
      <c r="I17" s="3">
        <f t="shared" si="2"/>
        <v>0</v>
      </c>
    </row>
    <row r="18" spans="1:9" x14ac:dyDescent="0.3">
      <c r="G18" s="3">
        <f t="shared" si="0"/>
        <v>0</v>
      </c>
      <c r="H18" s="3">
        <f t="shared" si="1"/>
        <v>0</v>
      </c>
      <c r="I18" s="3">
        <f t="shared" si="2"/>
        <v>0</v>
      </c>
    </row>
    <row r="19" spans="1:9" x14ac:dyDescent="0.3">
      <c r="G19" s="3">
        <f t="shared" si="0"/>
        <v>0</v>
      </c>
      <c r="H19" s="3">
        <f t="shared" si="1"/>
        <v>0</v>
      </c>
      <c r="I19" s="3">
        <f t="shared" si="2"/>
        <v>0</v>
      </c>
    </row>
    <row r="20" spans="1:9" x14ac:dyDescent="0.3">
      <c r="G20" s="3">
        <f t="shared" si="0"/>
        <v>0</v>
      </c>
      <c r="H20" s="3">
        <f t="shared" si="1"/>
        <v>0</v>
      </c>
      <c r="I20" s="3">
        <f t="shared" si="2"/>
        <v>0</v>
      </c>
    </row>
    <row r="21" spans="1:9" x14ac:dyDescent="0.3">
      <c r="G21" s="3">
        <f t="shared" si="0"/>
        <v>0</v>
      </c>
      <c r="H21" s="3">
        <f t="shared" si="1"/>
        <v>0</v>
      </c>
      <c r="I21" s="3">
        <f t="shared" si="2"/>
        <v>0</v>
      </c>
    </row>
    <row r="22" spans="1:9" x14ac:dyDescent="0.3">
      <c r="G22" s="3">
        <f t="shared" si="0"/>
        <v>0</v>
      </c>
      <c r="H22" s="3">
        <f t="shared" si="1"/>
        <v>0</v>
      </c>
      <c r="I22" s="3">
        <f t="shared" si="2"/>
        <v>0</v>
      </c>
    </row>
    <row r="23" spans="1:9" x14ac:dyDescent="0.3">
      <c r="A23" s="7"/>
      <c r="G23" s="5">
        <f t="shared" si="0"/>
        <v>0</v>
      </c>
      <c r="H23" s="5">
        <f t="shared" si="1"/>
        <v>0</v>
      </c>
      <c r="I23" s="5">
        <f t="shared" si="2"/>
        <v>0</v>
      </c>
    </row>
    <row r="24" spans="1:9" x14ac:dyDescent="0.3">
      <c r="A24" s="7"/>
      <c r="G24" s="5">
        <f t="shared" si="0"/>
        <v>0</v>
      </c>
      <c r="H24" s="5">
        <f t="shared" si="1"/>
        <v>0</v>
      </c>
      <c r="I24" s="5">
        <f t="shared" si="2"/>
        <v>0</v>
      </c>
    </row>
    <row r="25" spans="1:9" x14ac:dyDescent="0.3">
      <c r="A25" s="7"/>
      <c r="G25" s="5">
        <f t="shared" si="0"/>
        <v>0</v>
      </c>
      <c r="H25" s="5">
        <f t="shared" si="1"/>
        <v>0</v>
      </c>
      <c r="I25" s="5">
        <f t="shared" si="2"/>
        <v>0</v>
      </c>
    </row>
    <row r="26" spans="1:9" x14ac:dyDescent="0.3">
      <c r="A26" s="7"/>
      <c r="G26" s="5">
        <f t="shared" si="0"/>
        <v>0</v>
      </c>
      <c r="H26" s="5">
        <f t="shared" si="1"/>
        <v>0</v>
      </c>
      <c r="I26" s="5">
        <f t="shared" si="2"/>
        <v>0</v>
      </c>
    </row>
    <row r="27" spans="1:9" x14ac:dyDescent="0.3">
      <c r="A27" s="7"/>
      <c r="G27" s="5">
        <f t="shared" si="0"/>
        <v>0</v>
      </c>
      <c r="H27" s="5">
        <f t="shared" si="1"/>
        <v>0</v>
      </c>
      <c r="I27" s="5">
        <f t="shared" si="2"/>
        <v>0</v>
      </c>
    </row>
    <row r="28" spans="1:9" x14ac:dyDescent="0.3">
      <c r="A28" s="7"/>
      <c r="G28" s="5">
        <f t="shared" si="0"/>
        <v>0</v>
      </c>
      <c r="H28" s="5">
        <f t="shared" si="1"/>
        <v>0</v>
      </c>
      <c r="I28" s="5">
        <f t="shared" si="2"/>
        <v>0</v>
      </c>
    </row>
    <row r="29" spans="1:9" x14ac:dyDescent="0.3">
      <c r="A29" s="7"/>
      <c r="G29" s="5">
        <f t="shared" si="0"/>
        <v>0</v>
      </c>
      <c r="H29" s="5">
        <f t="shared" si="1"/>
        <v>0</v>
      </c>
      <c r="I29" s="5">
        <f t="shared" si="2"/>
        <v>0</v>
      </c>
    </row>
    <row r="30" spans="1:9" x14ac:dyDescent="0.3">
      <c r="A30" s="7"/>
      <c r="G30" s="5">
        <f t="shared" si="0"/>
        <v>0</v>
      </c>
      <c r="H30" s="5">
        <f t="shared" si="1"/>
        <v>0</v>
      </c>
      <c r="I30" s="5">
        <f t="shared" si="2"/>
        <v>0</v>
      </c>
    </row>
    <row r="31" spans="1:9" x14ac:dyDescent="0.3">
      <c r="A31" s="7"/>
      <c r="G31" s="5">
        <f t="shared" si="0"/>
        <v>0</v>
      </c>
      <c r="H31" s="5">
        <f t="shared" si="1"/>
        <v>0</v>
      </c>
      <c r="I31" s="5">
        <f t="shared" si="2"/>
        <v>0</v>
      </c>
    </row>
    <row r="32" spans="1:9" x14ac:dyDescent="0.3">
      <c r="A32" s="7"/>
      <c r="G32" s="5">
        <f t="shared" si="0"/>
        <v>0</v>
      </c>
      <c r="H32" s="5">
        <f t="shared" si="1"/>
        <v>0</v>
      </c>
      <c r="I32" s="5">
        <f t="shared" si="2"/>
        <v>0</v>
      </c>
    </row>
    <row r="33" spans="1:9" x14ac:dyDescent="0.3">
      <c r="A33" s="7"/>
      <c r="G33" s="8">
        <f>SUM(G3:G32)</f>
        <v>8345</v>
      </c>
      <c r="H33" s="8">
        <f>SUM(H3:H32)</f>
        <v>7978.01</v>
      </c>
      <c r="I33" s="8">
        <f>SUM(I3:I32)</f>
        <v>7837.8889999999992</v>
      </c>
    </row>
    <row r="34" spans="1:9" x14ac:dyDescent="0.3">
      <c r="A34" s="7"/>
      <c r="G34" s="5"/>
      <c r="H34" s="5"/>
      <c r="I34" s="5"/>
    </row>
    <row r="35" spans="1:9" x14ac:dyDescent="0.3">
      <c r="A35" s="7"/>
      <c r="G35" s="5"/>
      <c r="H35" s="5"/>
      <c r="I35" s="5"/>
    </row>
    <row r="36" spans="1:9" x14ac:dyDescent="0.3">
      <c r="A36" s="7"/>
      <c r="G36" s="5"/>
      <c r="H36" s="5"/>
      <c r="I36" s="5"/>
    </row>
    <row r="37" spans="1:9" x14ac:dyDescent="0.3">
      <c r="A37" s="7"/>
      <c r="G37" s="5"/>
      <c r="H37" s="5"/>
      <c r="I37" s="5"/>
    </row>
    <row r="38" spans="1:9" x14ac:dyDescent="0.3">
      <c r="A38" s="7"/>
      <c r="G38" s="5"/>
      <c r="H38" s="5"/>
      <c r="I38" s="5"/>
    </row>
    <row r="39" spans="1:9" x14ac:dyDescent="0.3">
      <c r="A39" s="7"/>
      <c r="G39" s="5"/>
      <c r="H39" s="5"/>
      <c r="I39" s="5"/>
    </row>
    <row r="40" spans="1:9" x14ac:dyDescent="0.3">
      <c r="A40" s="7"/>
      <c r="G40" s="5"/>
      <c r="H40" s="5"/>
      <c r="I40" s="5"/>
    </row>
    <row r="41" spans="1:9" x14ac:dyDescent="0.3">
      <c r="A41" s="7"/>
      <c r="G41" s="5"/>
      <c r="H41" s="5"/>
      <c r="I41" s="5"/>
    </row>
    <row r="42" spans="1:9" x14ac:dyDescent="0.3">
      <c r="A42" s="7"/>
      <c r="G42" s="5"/>
      <c r="H42" s="5"/>
      <c r="I42" s="5"/>
    </row>
    <row r="43" spans="1:9" x14ac:dyDescent="0.3">
      <c r="A43" s="7"/>
      <c r="G43" s="5"/>
      <c r="H43" s="5"/>
      <c r="I43" s="5"/>
    </row>
    <row r="44" spans="1:9" x14ac:dyDescent="0.3">
      <c r="A44" s="7"/>
      <c r="G44" s="5"/>
      <c r="H44" s="5"/>
      <c r="I44" s="5"/>
    </row>
    <row r="45" spans="1:9" x14ac:dyDescent="0.3">
      <c r="A45" s="7"/>
      <c r="G45" s="5"/>
      <c r="H45" s="5"/>
      <c r="I45" s="5"/>
    </row>
    <row r="46" spans="1:9" x14ac:dyDescent="0.3">
      <c r="A46" s="7"/>
      <c r="G46" s="5"/>
      <c r="H46" s="5"/>
      <c r="I46" s="5"/>
    </row>
    <row r="47" spans="1:9" x14ac:dyDescent="0.3">
      <c r="A47" s="7"/>
      <c r="G47" s="5"/>
      <c r="H47" s="5"/>
      <c r="I47" s="5"/>
    </row>
    <row r="48" spans="1:9" x14ac:dyDescent="0.3">
      <c r="A48" s="7"/>
      <c r="G48" s="5"/>
      <c r="H48" s="5"/>
      <c r="I48" s="5"/>
    </row>
    <row r="49" spans="1:11" x14ac:dyDescent="0.3">
      <c r="A49" s="7"/>
      <c r="G49" s="5"/>
      <c r="H49" s="5"/>
      <c r="I49" s="5"/>
    </row>
    <row r="50" spans="1:11" x14ac:dyDescent="0.3">
      <c r="A50" s="7"/>
      <c r="G50" s="5"/>
      <c r="H50" s="5"/>
      <c r="I50" s="5"/>
    </row>
    <row r="51" spans="1:11" x14ac:dyDescent="0.3">
      <c r="A51" s="7"/>
      <c r="G51" s="5"/>
      <c r="H51" s="5"/>
      <c r="I51" s="5"/>
    </row>
    <row r="52" spans="1:11" x14ac:dyDescent="0.3">
      <c r="A52" s="7"/>
      <c r="G52" s="5"/>
      <c r="H52" s="5"/>
      <c r="I52" s="5"/>
    </row>
    <row r="54" spans="1:11" x14ac:dyDescent="0.3">
      <c r="I54" t="s">
        <v>19</v>
      </c>
      <c r="J54" t="s">
        <v>20</v>
      </c>
      <c r="K54" t="s">
        <v>21</v>
      </c>
    </row>
    <row r="55" spans="1:11" x14ac:dyDescent="0.3">
      <c r="I55">
        <f>D55*E55</f>
        <v>0</v>
      </c>
      <c r="J55">
        <f>I55-H55</f>
        <v>0</v>
      </c>
      <c r="K55">
        <f>J55-G55</f>
        <v>0</v>
      </c>
    </row>
    <row r="56" spans="1:11" x14ac:dyDescent="0.3">
      <c r="I56">
        <f t="shared" ref="I56:I84" si="3">D56*E56</f>
        <v>0</v>
      </c>
      <c r="J56">
        <f t="shared" ref="J56:J84" si="4">I56-H56</f>
        <v>0</v>
      </c>
      <c r="K56">
        <f t="shared" ref="K56:K84" si="5">J56-G56</f>
        <v>0</v>
      </c>
    </row>
    <row r="57" spans="1:11" x14ac:dyDescent="0.3">
      <c r="I57">
        <f t="shared" si="3"/>
        <v>0</v>
      </c>
      <c r="J57">
        <f t="shared" si="4"/>
        <v>0</v>
      </c>
      <c r="K57">
        <f t="shared" si="5"/>
        <v>0</v>
      </c>
    </row>
    <row r="58" spans="1:11" x14ac:dyDescent="0.3">
      <c r="I58">
        <f t="shared" si="3"/>
        <v>0</v>
      </c>
      <c r="J58">
        <f t="shared" si="4"/>
        <v>0</v>
      </c>
      <c r="K58">
        <f t="shared" si="5"/>
        <v>0</v>
      </c>
    </row>
    <row r="59" spans="1:11" x14ac:dyDescent="0.3">
      <c r="I59">
        <f t="shared" si="3"/>
        <v>0</v>
      </c>
      <c r="J59">
        <f t="shared" si="4"/>
        <v>0</v>
      </c>
      <c r="K59">
        <f t="shared" si="5"/>
        <v>0</v>
      </c>
    </row>
    <row r="60" spans="1:11" x14ac:dyDescent="0.3">
      <c r="I60">
        <f t="shared" si="3"/>
        <v>0</v>
      </c>
      <c r="J60">
        <f t="shared" si="4"/>
        <v>0</v>
      </c>
      <c r="K60">
        <f t="shared" si="5"/>
        <v>0</v>
      </c>
    </row>
    <row r="61" spans="1:11" x14ac:dyDescent="0.3">
      <c r="I61">
        <f t="shared" si="3"/>
        <v>0</v>
      </c>
      <c r="J61">
        <f t="shared" si="4"/>
        <v>0</v>
      </c>
      <c r="K61">
        <f t="shared" si="5"/>
        <v>0</v>
      </c>
    </row>
    <row r="62" spans="1:11" x14ac:dyDescent="0.3">
      <c r="I62">
        <f t="shared" si="3"/>
        <v>0</v>
      </c>
      <c r="J62">
        <f t="shared" si="4"/>
        <v>0</v>
      </c>
      <c r="K62">
        <f t="shared" si="5"/>
        <v>0</v>
      </c>
    </row>
    <row r="63" spans="1:11" x14ac:dyDescent="0.3">
      <c r="I63">
        <f t="shared" si="3"/>
        <v>0</v>
      </c>
      <c r="J63">
        <f t="shared" si="4"/>
        <v>0</v>
      </c>
      <c r="K63">
        <f t="shared" si="5"/>
        <v>0</v>
      </c>
    </row>
    <row r="64" spans="1:11" x14ac:dyDescent="0.3">
      <c r="I64">
        <f t="shared" si="3"/>
        <v>0</v>
      </c>
      <c r="J64">
        <f t="shared" si="4"/>
        <v>0</v>
      </c>
      <c r="K64">
        <f t="shared" si="5"/>
        <v>0</v>
      </c>
    </row>
    <row r="65" spans="3:11" x14ac:dyDescent="0.3">
      <c r="I65">
        <f t="shared" si="3"/>
        <v>0</v>
      </c>
      <c r="J65">
        <f t="shared" si="4"/>
        <v>0</v>
      </c>
      <c r="K65">
        <f t="shared" si="5"/>
        <v>0</v>
      </c>
    </row>
    <row r="66" spans="3:11" x14ac:dyDescent="0.3">
      <c r="I66">
        <f t="shared" si="3"/>
        <v>0</v>
      </c>
      <c r="J66">
        <f t="shared" si="4"/>
        <v>0</v>
      </c>
      <c r="K66">
        <f t="shared" si="5"/>
        <v>0</v>
      </c>
    </row>
    <row r="67" spans="3:11" x14ac:dyDescent="0.3">
      <c r="I67">
        <f t="shared" si="3"/>
        <v>0</v>
      </c>
      <c r="J67">
        <f t="shared" si="4"/>
        <v>0</v>
      </c>
      <c r="K67">
        <f t="shared" si="5"/>
        <v>0</v>
      </c>
    </row>
    <row r="68" spans="3:11" x14ac:dyDescent="0.3">
      <c r="I68">
        <f t="shared" si="3"/>
        <v>0</v>
      </c>
      <c r="J68">
        <f t="shared" si="4"/>
        <v>0</v>
      </c>
      <c r="K68">
        <f t="shared" si="5"/>
        <v>0</v>
      </c>
    </row>
    <row r="69" spans="3:11" x14ac:dyDescent="0.3">
      <c r="I69">
        <f t="shared" si="3"/>
        <v>0</v>
      </c>
      <c r="J69">
        <f t="shared" si="4"/>
        <v>0</v>
      </c>
      <c r="K69">
        <f t="shared" si="5"/>
        <v>0</v>
      </c>
    </row>
    <row r="70" spans="3:11" x14ac:dyDescent="0.3">
      <c r="I70">
        <f t="shared" si="3"/>
        <v>0</v>
      </c>
      <c r="J70">
        <f t="shared" si="4"/>
        <v>0</v>
      </c>
      <c r="K70">
        <f t="shared" si="5"/>
        <v>0</v>
      </c>
    </row>
    <row r="71" spans="3:11" x14ac:dyDescent="0.3">
      <c r="I71">
        <f t="shared" si="3"/>
        <v>0</v>
      </c>
      <c r="J71">
        <f t="shared" si="4"/>
        <v>0</v>
      </c>
      <c r="K71">
        <f t="shared" si="5"/>
        <v>0</v>
      </c>
    </row>
    <row r="72" spans="3:11" x14ac:dyDescent="0.3">
      <c r="I72">
        <f t="shared" si="3"/>
        <v>0</v>
      </c>
      <c r="J72">
        <f t="shared" si="4"/>
        <v>0</v>
      </c>
      <c r="K72">
        <f t="shared" si="5"/>
        <v>0</v>
      </c>
    </row>
    <row r="73" spans="3:11" x14ac:dyDescent="0.3">
      <c r="I73">
        <f t="shared" si="3"/>
        <v>0</v>
      </c>
      <c r="J73">
        <f t="shared" si="4"/>
        <v>0</v>
      </c>
      <c r="K73">
        <f t="shared" si="5"/>
        <v>0</v>
      </c>
    </row>
    <row r="74" spans="3:11" x14ac:dyDescent="0.3">
      <c r="I74">
        <f t="shared" si="3"/>
        <v>0</v>
      </c>
      <c r="J74">
        <f t="shared" si="4"/>
        <v>0</v>
      </c>
      <c r="K74">
        <f t="shared" si="5"/>
        <v>0</v>
      </c>
    </row>
    <row r="75" spans="3:11" x14ac:dyDescent="0.3">
      <c r="C75" s="7"/>
      <c r="I75" s="5">
        <f t="shared" si="3"/>
        <v>0</v>
      </c>
      <c r="J75" s="5">
        <f t="shared" si="4"/>
        <v>0</v>
      </c>
      <c r="K75" s="5">
        <f t="shared" si="5"/>
        <v>0</v>
      </c>
    </row>
    <row r="76" spans="3:11" x14ac:dyDescent="0.3">
      <c r="C76" s="7"/>
      <c r="I76" s="5">
        <f t="shared" si="3"/>
        <v>0</v>
      </c>
      <c r="J76" s="5">
        <f t="shared" si="4"/>
        <v>0</v>
      </c>
      <c r="K76" s="5">
        <f t="shared" si="5"/>
        <v>0</v>
      </c>
    </row>
    <row r="77" spans="3:11" x14ac:dyDescent="0.3">
      <c r="C77" s="7"/>
      <c r="I77" s="5">
        <f t="shared" si="3"/>
        <v>0</v>
      </c>
      <c r="J77" s="5">
        <f t="shared" si="4"/>
        <v>0</v>
      </c>
      <c r="K77" s="5">
        <f t="shared" si="5"/>
        <v>0</v>
      </c>
    </row>
    <row r="78" spans="3:11" x14ac:dyDescent="0.3">
      <c r="C78" s="7"/>
      <c r="I78" s="5">
        <f t="shared" si="3"/>
        <v>0</v>
      </c>
      <c r="J78" s="5">
        <f t="shared" si="4"/>
        <v>0</v>
      </c>
      <c r="K78" s="5">
        <f t="shared" si="5"/>
        <v>0</v>
      </c>
    </row>
    <row r="79" spans="3:11" x14ac:dyDescent="0.3">
      <c r="C79" s="7"/>
      <c r="I79" s="5">
        <f t="shared" si="3"/>
        <v>0</v>
      </c>
      <c r="J79" s="5">
        <f t="shared" si="4"/>
        <v>0</v>
      </c>
      <c r="K79" s="5">
        <f t="shared" si="5"/>
        <v>0</v>
      </c>
    </row>
    <row r="80" spans="3:11" x14ac:dyDescent="0.3">
      <c r="C80" s="7"/>
      <c r="I80" s="5">
        <f t="shared" si="3"/>
        <v>0</v>
      </c>
      <c r="J80" s="5">
        <f t="shared" si="4"/>
        <v>0</v>
      </c>
      <c r="K80" s="5">
        <f t="shared" si="5"/>
        <v>0</v>
      </c>
    </row>
    <row r="81" spans="3:11" x14ac:dyDescent="0.3">
      <c r="C81" s="7"/>
      <c r="I81" s="5">
        <f t="shared" si="3"/>
        <v>0</v>
      </c>
      <c r="J81" s="5">
        <f t="shared" si="4"/>
        <v>0</v>
      </c>
      <c r="K81" s="5">
        <f t="shared" si="5"/>
        <v>0</v>
      </c>
    </row>
    <row r="82" spans="3:11" x14ac:dyDescent="0.3">
      <c r="C82" s="7"/>
      <c r="I82" s="5">
        <f t="shared" si="3"/>
        <v>0</v>
      </c>
      <c r="J82" s="5">
        <f t="shared" si="4"/>
        <v>0</v>
      </c>
      <c r="K82" s="5">
        <f t="shared" si="5"/>
        <v>0</v>
      </c>
    </row>
    <row r="83" spans="3:11" x14ac:dyDescent="0.3">
      <c r="C83" s="7"/>
      <c r="I83" s="5">
        <f t="shared" si="3"/>
        <v>0</v>
      </c>
      <c r="J83" s="5">
        <f t="shared" si="4"/>
        <v>0</v>
      </c>
      <c r="K83" s="5">
        <f t="shared" si="5"/>
        <v>0</v>
      </c>
    </row>
    <row r="84" spans="3:11" x14ac:dyDescent="0.3">
      <c r="C84" s="7"/>
      <c r="I84" s="5">
        <f t="shared" si="3"/>
        <v>0</v>
      </c>
      <c r="J84" s="5">
        <f t="shared" si="4"/>
        <v>0</v>
      </c>
      <c r="K84" s="5">
        <f t="shared" si="5"/>
        <v>0</v>
      </c>
    </row>
    <row r="85" spans="3:11" x14ac:dyDescent="0.3">
      <c r="C85" s="7"/>
      <c r="I85" s="8">
        <f>SUM(I55:I84)</f>
        <v>0</v>
      </c>
      <c r="J85" s="8">
        <f>SUM(J55:J84)</f>
        <v>0</v>
      </c>
      <c r="K85" s="8">
        <f>SUM(K55:K84)</f>
        <v>0</v>
      </c>
    </row>
    <row r="86" spans="3:11" x14ac:dyDescent="0.3">
      <c r="C86" s="7"/>
      <c r="I86" s="5"/>
      <c r="J86" s="5"/>
      <c r="K86" s="5"/>
    </row>
    <row r="87" spans="3:11" x14ac:dyDescent="0.3">
      <c r="C87" s="7"/>
      <c r="I87" s="5"/>
      <c r="J87" s="5"/>
      <c r="K87" s="5"/>
    </row>
    <row r="88" spans="3:11" x14ac:dyDescent="0.3">
      <c r="C88" s="7"/>
      <c r="I88" s="5"/>
      <c r="J88" s="5"/>
      <c r="K88" s="5"/>
    </row>
    <row r="89" spans="3:11" x14ac:dyDescent="0.3">
      <c r="C89" s="7"/>
      <c r="I89" s="5"/>
      <c r="J89" s="5"/>
      <c r="K89" s="5"/>
    </row>
    <row r="90" spans="3:11" x14ac:dyDescent="0.3">
      <c r="C90" s="7"/>
      <c r="I90" s="5"/>
      <c r="J90" s="5"/>
      <c r="K90" s="5"/>
    </row>
    <row r="91" spans="3:11" x14ac:dyDescent="0.3">
      <c r="C91" s="7"/>
      <c r="I91" s="5"/>
      <c r="J91" s="5"/>
      <c r="K91" s="5"/>
    </row>
    <row r="92" spans="3:11" x14ac:dyDescent="0.3">
      <c r="C92" s="7"/>
      <c r="I92" s="5"/>
      <c r="J92" s="5"/>
      <c r="K92" s="5"/>
    </row>
    <row r="93" spans="3:11" x14ac:dyDescent="0.3">
      <c r="C93" s="7"/>
      <c r="I93" s="5"/>
      <c r="J93" s="5"/>
      <c r="K93" s="5"/>
    </row>
    <row r="94" spans="3:11" x14ac:dyDescent="0.3">
      <c r="C94" s="7"/>
      <c r="I94" s="5"/>
      <c r="J94" s="5"/>
      <c r="K94" s="5"/>
    </row>
    <row r="95" spans="3:11" x14ac:dyDescent="0.3">
      <c r="C95" s="7"/>
      <c r="I95" s="5"/>
      <c r="J95" s="5"/>
      <c r="K95" s="5"/>
    </row>
    <row r="96" spans="3:11" x14ac:dyDescent="0.3">
      <c r="C96" s="7"/>
      <c r="I96" s="5"/>
      <c r="J96" s="5"/>
      <c r="K96" s="5"/>
    </row>
    <row r="97" spans="3:11" x14ac:dyDescent="0.3">
      <c r="C97" s="7"/>
      <c r="I97" s="5"/>
      <c r="J97" s="5"/>
      <c r="K97" s="5"/>
    </row>
    <row r="98" spans="3:11" x14ac:dyDescent="0.3">
      <c r="C98" s="7"/>
      <c r="I98" s="5"/>
      <c r="J98" s="5"/>
      <c r="K98" s="5"/>
    </row>
    <row r="99" spans="3:11" x14ac:dyDescent="0.3">
      <c r="C99" s="7"/>
      <c r="I99" s="5"/>
      <c r="J99" s="5"/>
      <c r="K99" s="5"/>
    </row>
    <row r="100" spans="3:11" x14ac:dyDescent="0.3">
      <c r="C100" s="7"/>
      <c r="I100" s="5"/>
      <c r="J100" s="5"/>
      <c r="K100" s="5"/>
    </row>
    <row r="101" spans="3:11" x14ac:dyDescent="0.3">
      <c r="C101" s="7"/>
      <c r="I101" s="5"/>
      <c r="J101" s="5"/>
      <c r="K101" s="5"/>
    </row>
    <row r="102" spans="3:11" x14ac:dyDescent="0.3">
      <c r="C102" s="7"/>
      <c r="I102" s="5"/>
      <c r="J102" s="5"/>
      <c r="K102" s="5"/>
    </row>
    <row r="103" spans="3:11" x14ac:dyDescent="0.3">
      <c r="C103" s="7"/>
      <c r="I103" s="5"/>
      <c r="J103" s="5"/>
      <c r="K103" s="5"/>
    </row>
    <row r="104" spans="3:11" x14ac:dyDescent="0.3">
      <c r="C104" s="7"/>
      <c r="I104" s="5"/>
      <c r="J104" s="5"/>
      <c r="K10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F07-5362-499D-987B-B5AB00F09EFA}">
  <sheetPr codeName="Sheet3"/>
  <dimension ref="F5:R16"/>
  <sheetViews>
    <sheetView topLeftCell="C4" zoomScale="130" zoomScaleNormal="130" workbookViewId="0">
      <selection activeCell="F5" sqref="F5:K15"/>
    </sheetView>
  </sheetViews>
  <sheetFormatPr defaultRowHeight="15.6" x14ac:dyDescent="0.3"/>
  <cols>
    <col min="11" max="11" width="11.8984375" bestFit="1" customWidth="1"/>
    <col min="13" max="13" width="11.19921875" bestFit="1" customWidth="1"/>
  </cols>
  <sheetData>
    <row r="5" spans="6:18" x14ac:dyDescent="0.3">
      <c r="F5" t="s">
        <v>0</v>
      </c>
      <c r="G5" t="s">
        <v>1</v>
      </c>
      <c r="H5" t="s">
        <v>2</v>
      </c>
      <c r="I5" t="s">
        <v>3</v>
      </c>
      <c r="J5" t="s">
        <v>4</v>
      </c>
      <c r="K5" t="s">
        <v>5</v>
      </c>
      <c r="L5" t="s">
        <v>19</v>
      </c>
      <c r="M5" s="1" t="s">
        <v>20</v>
      </c>
      <c r="N5" s="1" t="s">
        <v>21</v>
      </c>
      <c r="O5" s="1"/>
      <c r="P5" s="1"/>
      <c r="Q5" s="1"/>
      <c r="R5" s="1"/>
    </row>
    <row r="6" spans="6:18" x14ac:dyDescent="0.3">
      <c r="F6" s="2" t="s">
        <v>6</v>
      </c>
      <c r="G6">
        <v>408</v>
      </c>
      <c r="H6">
        <v>2</v>
      </c>
      <c r="I6">
        <v>0</v>
      </c>
      <c r="J6">
        <v>106.14</v>
      </c>
      <c r="K6">
        <v>35.46</v>
      </c>
      <c r="L6" s="5">
        <f>G6*H6</f>
        <v>816</v>
      </c>
      <c r="M6" s="6">
        <f>L6-K6</f>
        <v>780.54</v>
      </c>
      <c r="N6" s="5">
        <f>M6-J6</f>
        <v>674.4</v>
      </c>
    </row>
    <row r="7" spans="6:18" x14ac:dyDescent="0.3">
      <c r="F7" s="2" t="s">
        <v>7</v>
      </c>
      <c r="G7">
        <v>120</v>
      </c>
      <c r="H7">
        <v>3</v>
      </c>
      <c r="I7">
        <v>0.1</v>
      </c>
      <c r="J7">
        <v>36.036000000000001</v>
      </c>
      <c r="K7">
        <v>9.7200000000000006</v>
      </c>
      <c r="L7" s="5">
        <f t="shared" ref="L7:L15" si="0">G7*H7</f>
        <v>360</v>
      </c>
      <c r="M7" s="6">
        <f t="shared" ref="M7:M15" si="1">L7-K7</f>
        <v>350.28</v>
      </c>
      <c r="N7" s="5">
        <f t="shared" ref="N7:N15" si="2">M7-J7</f>
        <v>314.24399999999997</v>
      </c>
    </row>
    <row r="8" spans="6:18" x14ac:dyDescent="0.3">
      <c r="F8" s="2" t="s">
        <v>14</v>
      </c>
      <c r="G8">
        <v>66</v>
      </c>
      <c r="H8">
        <v>4</v>
      </c>
      <c r="I8">
        <v>0</v>
      </c>
      <c r="J8">
        <v>29.64</v>
      </c>
      <c r="K8">
        <v>8.17</v>
      </c>
      <c r="L8" s="5">
        <f t="shared" si="0"/>
        <v>264</v>
      </c>
      <c r="M8" s="6">
        <f t="shared" si="1"/>
        <v>255.83</v>
      </c>
      <c r="N8" s="5">
        <f t="shared" si="2"/>
        <v>226.19</v>
      </c>
    </row>
    <row r="9" spans="6:18" x14ac:dyDescent="0.3">
      <c r="F9" s="2" t="s">
        <v>15</v>
      </c>
      <c r="G9">
        <v>45</v>
      </c>
      <c r="H9">
        <v>3</v>
      </c>
      <c r="I9">
        <v>0.5</v>
      </c>
      <c r="J9">
        <v>-26.055</v>
      </c>
      <c r="K9">
        <v>4.82</v>
      </c>
      <c r="L9" s="5">
        <f t="shared" si="0"/>
        <v>135</v>
      </c>
      <c r="M9" s="6">
        <f t="shared" si="1"/>
        <v>130.18</v>
      </c>
      <c r="N9" s="5">
        <f t="shared" si="2"/>
        <v>156.23500000000001</v>
      </c>
    </row>
    <row r="10" spans="6:18" x14ac:dyDescent="0.3">
      <c r="F10" s="2" t="s">
        <v>9</v>
      </c>
      <c r="G10">
        <v>114</v>
      </c>
      <c r="H10">
        <v>5</v>
      </c>
      <c r="I10">
        <v>0.1</v>
      </c>
      <c r="J10">
        <v>37.770000000000003</v>
      </c>
      <c r="K10">
        <v>4.7</v>
      </c>
      <c r="L10" s="5">
        <f t="shared" si="0"/>
        <v>570</v>
      </c>
      <c r="M10" s="6">
        <f t="shared" si="1"/>
        <v>565.29999999999995</v>
      </c>
      <c r="N10" s="5">
        <f t="shared" si="2"/>
        <v>527.53</v>
      </c>
    </row>
    <row r="11" spans="6:18" x14ac:dyDescent="0.3">
      <c r="F11" s="2" t="s">
        <v>8</v>
      </c>
      <c r="G11">
        <v>55</v>
      </c>
      <c r="H11">
        <v>2</v>
      </c>
      <c r="I11">
        <v>0.1</v>
      </c>
      <c r="J11">
        <v>15.342000000000001</v>
      </c>
      <c r="K11">
        <v>1.8</v>
      </c>
      <c r="L11" s="5">
        <f t="shared" si="0"/>
        <v>110</v>
      </c>
      <c r="M11" s="6">
        <f t="shared" si="1"/>
        <v>108.2</v>
      </c>
      <c r="N11" s="5">
        <f t="shared" si="2"/>
        <v>92.858000000000004</v>
      </c>
    </row>
    <row r="12" spans="6:18" x14ac:dyDescent="0.3">
      <c r="F12" s="2" t="s">
        <v>10</v>
      </c>
      <c r="G12">
        <v>314</v>
      </c>
      <c r="H12">
        <v>1</v>
      </c>
      <c r="I12">
        <v>0</v>
      </c>
      <c r="J12">
        <v>3.12</v>
      </c>
      <c r="K12">
        <v>24.1</v>
      </c>
      <c r="L12" s="5">
        <f t="shared" si="0"/>
        <v>314</v>
      </c>
      <c r="M12" s="6">
        <f t="shared" si="1"/>
        <v>289.89999999999998</v>
      </c>
      <c r="N12" s="5">
        <f t="shared" si="2"/>
        <v>286.77999999999997</v>
      </c>
    </row>
    <row r="13" spans="6:18" x14ac:dyDescent="0.3">
      <c r="F13" s="2" t="s">
        <v>11</v>
      </c>
      <c r="G13">
        <v>276</v>
      </c>
      <c r="H13">
        <v>1</v>
      </c>
      <c r="I13">
        <v>0.1</v>
      </c>
      <c r="J13">
        <v>110.41200000000001</v>
      </c>
      <c r="K13">
        <v>125.32</v>
      </c>
      <c r="L13" s="5">
        <f t="shared" si="0"/>
        <v>276</v>
      </c>
      <c r="M13" s="6">
        <f t="shared" si="1"/>
        <v>150.68</v>
      </c>
      <c r="N13" s="5">
        <f t="shared" si="2"/>
        <v>40.268000000000001</v>
      </c>
    </row>
    <row r="14" spans="6:18" x14ac:dyDescent="0.3">
      <c r="F14" s="2" t="s">
        <v>12</v>
      </c>
      <c r="G14">
        <v>912</v>
      </c>
      <c r="H14">
        <v>4</v>
      </c>
      <c r="I14">
        <v>0.4</v>
      </c>
      <c r="J14">
        <v>-319.464</v>
      </c>
      <c r="K14">
        <v>107.1</v>
      </c>
      <c r="L14" s="5">
        <f t="shared" si="0"/>
        <v>3648</v>
      </c>
      <c r="M14" s="6">
        <f t="shared" si="1"/>
        <v>3540.9</v>
      </c>
      <c r="N14" s="5">
        <f t="shared" si="2"/>
        <v>3860.364</v>
      </c>
    </row>
    <row r="15" spans="6:18" x14ac:dyDescent="0.3">
      <c r="F15" s="2" t="s">
        <v>13</v>
      </c>
      <c r="G15">
        <v>667</v>
      </c>
      <c r="H15">
        <v>4</v>
      </c>
      <c r="I15">
        <v>0</v>
      </c>
      <c r="J15">
        <v>253.32</v>
      </c>
      <c r="K15">
        <v>81.260000000000005</v>
      </c>
      <c r="L15" s="5">
        <f t="shared" si="0"/>
        <v>2668</v>
      </c>
      <c r="M15" s="6">
        <f t="shared" si="1"/>
        <v>2586.7399999999998</v>
      </c>
      <c r="N15" s="5">
        <f t="shared" si="2"/>
        <v>2333.4199999999996</v>
      </c>
    </row>
    <row r="16" spans="6:18" x14ac:dyDescent="0.3">
      <c r="J16" s="1"/>
      <c r="K16" s="1"/>
      <c r="L16" s="4">
        <f>SUM(L6:L15)</f>
        <v>9161</v>
      </c>
      <c r="M16" s="4">
        <f>SUM(M6:M15)</f>
        <v>8758.5499999999993</v>
      </c>
      <c r="N16" s="4">
        <f>SUM(N6:N15)</f>
        <v>8512.2890000000007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707D-F87B-469F-87F1-34A9134F3541}">
  <sheetPr codeName="Sheet4"/>
  <dimension ref="B2:J32"/>
  <sheetViews>
    <sheetView zoomScale="130" zoomScaleNormal="130" workbookViewId="0">
      <selection activeCell="H3" sqref="H3:H12"/>
    </sheetView>
  </sheetViews>
  <sheetFormatPr defaultRowHeight="15.6" x14ac:dyDescent="0.3"/>
  <cols>
    <col min="7" max="7" width="11.8984375" bestFit="1" customWidth="1"/>
  </cols>
  <sheetData>
    <row r="2" spans="2:10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19</v>
      </c>
      <c r="I2" t="s">
        <v>20</v>
      </c>
      <c r="J2" t="s">
        <v>21</v>
      </c>
    </row>
    <row r="3" spans="2:10" x14ac:dyDescent="0.3">
      <c r="B3" s="7" t="s">
        <v>6</v>
      </c>
      <c r="C3">
        <v>408</v>
      </c>
      <c r="D3">
        <v>2</v>
      </c>
      <c r="E3">
        <v>0</v>
      </c>
      <c r="F3">
        <v>106.14</v>
      </c>
      <c r="G3">
        <v>35.46</v>
      </c>
      <c r="H3" s="5">
        <f>C3*D3</f>
        <v>816</v>
      </c>
      <c r="I3" s="5">
        <f>H3-G3</f>
        <v>780.54</v>
      </c>
      <c r="J3" s="5">
        <f>I3-F3</f>
        <v>674.4</v>
      </c>
    </row>
    <row r="4" spans="2:10" x14ac:dyDescent="0.3">
      <c r="B4" s="7" t="s">
        <v>7</v>
      </c>
      <c r="C4">
        <v>120</v>
      </c>
      <c r="D4">
        <v>3</v>
      </c>
      <c r="E4">
        <v>0.1</v>
      </c>
      <c r="F4">
        <v>36.036000000000001</v>
      </c>
      <c r="G4">
        <v>9.7200000000000006</v>
      </c>
      <c r="H4" s="5">
        <f t="shared" ref="H4:H12" si="0">C4*D4</f>
        <v>360</v>
      </c>
      <c r="I4" s="5">
        <f t="shared" ref="I4:I12" si="1">H4-G4</f>
        <v>350.28</v>
      </c>
      <c r="J4" s="5">
        <f t="shared" ref="J4:J12" si="2">I4-F4</f>
        <v>314.24399999999997</v>
      </c>
    </row>
    <row r="5" spans="2:10" x14ac:dyDescent="0.3">
      <c r="B5" s="7" t="s">
        <v>14</v>
      </c>
      <c r="C5">
        <v>66</v>
      </c>
      <c r="D5">
        <v>4</v>
      </c>
      <c r="E5">
        <v>0</v>
      </c>
      <c r="F5">
        <v>29.64</v>
      </c>
      <c r="G5">
        <v>8.17</v>
      </c>
      <c r="H5" s="5">
        <f t="shared" si="0"/>
        <v>264</v>
      </c>
      <c r="I5" s="5">
        <f t="shared" si="1"/>
        <v>255.83</v>
      </c>
      <c r="J5" s="5">
        <f t="shared" si="2"/>
        <v>226.19</v>
      </c>
    </row>
    <row r="6" spans="2:10" x14ac:dyDescent="0.3">
      <c r="B6" s="7" t="s">
        <v>15</v>
      </c>
      <c r="C6">
        <v>45</v>
      </c>
      <c r="D6">
        <v>3</v>
      </c>
      <c r="E6">
        <v>0.5</v>
      </c>
      <c r="F6">
        <v>-26.055</v>
      </c>
      <c r="G6">
        <v>4.82</v>
      </c>
      <c r="H6" s="5">
        <f t="shared" si="0"/>
        <v>135</v>
      </c>
      <c r="I6" s="5">
        <f t="shared" si="1"/>
        <v>130.18</v>
      </c>
      <c r="J6" s="5">
        <f t="shared" si="2"/>
        <v>156.23500000000001</v>
      </c>
    </row>
    <row r="7" spans="2:10" x14ac:dyDescent="0.3">
      <c r="B7" s="7" t="s">
        <v>9</v>
      </c>
      <c r="C7">
        <v>114</v>
      </c>
      <c r="D7">
        <v>5</v>
      </c>
      <c r="E7">
        <v>0.1</v>
      </c>
      <c r="F7">
        <v>37.770000000000003</v>
      </c>
      <c r="G7">
        <v>4.7</v>
      </c>
      <c r="H7" s="5">
        <f t="shared" si="0"/>
        <v>570</v>
      </c>
      <c r="I7" s="5">
        <f t="shared" si="1"/>
        <v>565.29999999999995</v>
      </c>
      <c r="J7" s="5">
        <f t="shared" si="2"/>
        <v>527.53</v>
      </c>
    </row>
    <row r="8" spans="2:10" x14ac:dyDescent="0.3">
      <c r="B8" s="7" t="s">
        <v>8</v>
      </c>
      <c r="C8">
        <v>55</v>
      </c>
      <c r="D8">
        <v>2</v>
      </c>
      <c r="E8">
        <v>0.1</v>
      </c>
      <c r="F8">
        <v>15.342000000000001</v>
      </c>
      <c r="G8">
        <v>1.8</v>
      </c>
      <c r="H8" s="5">
        <f t="shared" si="0"/>
        <v>110</v>
      </c>
      <c r="I8" s="5">
        <f t="shared" si="1"/>
        <v>108.2</v>
      </c>
      <c r="J8" s="5">
        <f t="shared" si="2"/>
        <v>92.858000000000004</v>
      </c>
    </row>
    <row r="9" spans="2:10" x14ac:dyDescent="0.3">
      <c r="B9" s="7" t="s">
        <v>10</v>
      </c>
      <c r="C9">
        <v>314</v>
      </c>
      <c r="D9">
        <v>1</v>
      </c>
      <c r="E9">
        <v>0</v>
      </c>
      <c r="F9">
        <v>3.12</v>
      </c>
      <c r="G9">
        <v>24.1</v>
      </c>
      <c r="H9" s="5">
        <f t="shared" si="0"/>
        <v>314</v>
      </c>
      <c r="I9" s="5">
        <f t="shared" si="1"/>
        <v>289.89999999999998</v>
      </c>
      <c r="J9" s="5">
        <f t="shared" si="2"/>
        <v>286.77999999999997</v>
      </c>
    </row>
    <row r="10" spans="2:10" x14ac:dyDescent="0.3">
      <c r="B10" s="7" t="s">
        <v>11</v>
      </c>
      <c r="C10">
        <v>276</v>
      </c>
      <c r="D10">
        <v>1</v>
      </c>
      <c r="E10">
        <v>0.1</v>
      </c>
      <c r="F10">
        <v>110.41200000000001</v>
      </c>
      <c r="G10">
        <v>125.32</v>
      </c>
      <c r="H10" s="5">
        <f t="shared" si="0"/>
        <v>276</v>
      </c>
      <c r="I10" s="5">
        <f t="shared" si="1"/>
        <v>150.68</v>
      </c>
      <c r="J10" s="5">
        <f t="shared" si="2"/>
        <v>40.268000000000001</v>
      </c>
    </row>
    <row r="11" spans="2:10" x14ac:dyDescent="0.3">
      <c r="B11" s="7" t="s">
        <v>12</v>
      </c>
      <c r="C11">
        <v>912</v>
      </c>
      <c r="D11">
        <v>4</v>
      </c>
      <c r="E11">
        <v>0.4</v>
      </c>
      <c r="F11">
        <v>-319.464</v>
      </c>
      <c r="G11">
        <v>107.1</v>
      </c>
      <c r="H11" s="5">
        <f t="shared" si="0"/>
        <v>3648</v>
      </c>
      <c r="I11" s="5">
        <f t="shared" si="1"/>
        <v>3540.9</v>
      </c>
      <c r="J11" s="5">
        <f t="shared" si="2"/>
        <v>3860.364</v>
      </c>
    </row>
    <row r="12" spans="2:10" x14ac:dyDescent="0.3">
      <c r="B12" s="7" t="s">
        <v>13</v>
      </c>
      <c r="C12">
        <v>667</v>
      </c>
      <c r="D12">
        <v>4</v>
      </c>
      <c r="E12">
        <v>0</v>
      </c>
      <c r="F12">
        <v>253.32</v>
      </c>
      <c r="G12">
        <v>81.260000000000005</v>
      </c>
      <c r="H12" s="5">
        <f t="shared" si="0"/>
        <v>2668</v>
      </c>
      <c r="I12" s="5">
        <f t="shared" si="1"/>
        <v>2586.7399999999998</v>
      </c>
      <c r="J12" s="5">
        <f t="shared" si="2"/>
        <v>2333.4199999999996</v>
      </c>
    </row>
    <row r="13" spans="2:10" x14ac:dyDescent="0.3">
      <c r="B13" t="s">
        <v>6</v>
      </c>
      <c r="C13">
        <v>408</v>
      </c>
      <c r="D13">
        <v>2</v>
      </c>
      <c r="E13">
        <v>0</v>
      </c>
      <c r="F13">
        <v>106.14</v>
      </c>
      <c r="G13">
        <v>35.46</v>
      </c>
      <c r="H13" s="4">
        <f>SUM(H3:H12)</f>
        <v>9161</v>
      </c>
      <c r="I13" s="4">
        <f>SUM(I3:I12)</f>
        <v>8758.5499999999993</v>
      </c>
      <c r="J13" s="4">
        <f>SUM(J3:J12)</f>
        <v>8512.2890000000007</v>
      </c>
    </row>
    <row r="14" spans="2:10" x14ac:dyDescent="0.3">
      <c r="B14" t="s">
        <v>7</v>
      </c>
      <c r="C14">
        <v>120</v>
      </c>
      <c r="D14">
        <v>3</v>
      </c>
      <c r="E14">
        <v>0.1</v>
      </c>
      <c r="F14">
        <v>36.036000000000001</v>
      </c>
      <c r="G14">
        <v>9.7200000000000006</v>
      </c>
    </row>
    <row r="15" spans="2:10" x14ac:dyDescent="0.3">
      <c r="B15" t="s">
        <v>14</v>
      </c>
      <c r="C15">
        <v>66</v>
      </c>
      <c r="D15">
        <v>4</v>
      </c>
      <c r="E15">
        <v>0</v>
      </c>
      <c r="F15">
        <v>29.64</v>
      </c>
      <c r="G15">
        <v>8.17</v>
      </c>
    </row>
    <row r="16" spans="2:10" x14ac:dyDescent="0.3">
      <c r="B16" t="s">
        <v>15</v>
      </c>
      <c r="C16">
        <v>45</v>
      </c>
      <c r="D16">
        <v>3</v>
      </c>
      <c r="E16">
        <v>0.5</v>
      </c>
      <c r="F16">
        <v>-26.055</v>
      </c>
      <c r="G16">
        <v>4.82</v>
      </c>
    </row>
    <row r="17" spans="2:7" x14ac:dyDescent="0.3">
      <c r="B17" t="s">
        <v>9</v>
      </c>
      <c r="C17">
        <v>114</v>
      </c>
      <c r="D17">
        <v>5</v>
      </c>
      <c r="E17">
        <v>0.1</v>
      </c>
      <c r="F17">
        <v>37.770000000000003</v>
      </c>
      <c r="G17">
        <v>4.7</v>
      </c>
    </row>
    <row r="18" spans="2:7" x14ac:dyDescent="0.3">
      <c r="B18" t="s">
        <v>8</v>
      </c>
      <c r="C18">
        <v>55</v>
      </c>
      <c r="D18">
        <v>2</v>
      </c>
      <c r="E18">
        <v>0.1</v>
      </c>
      <c r="F18">
        <v>15.342000000000001</v>
      </c>
      <c r="G18">
        <v>1.8</v>
      </c>
    </row>
    <row r="19" spans="2:7" x14ac:dyDescent="0.3">
      <c r="B19" t="s">
        <v>10</v>
      </c>
      <c r="C19">
        <v>314</v>
      </c>
      <c r="D19">
        <v>1</v>
      </c>
      <c r="E19">
        <v>0</v>
      </c>
      <c r="F19">
        <v>3.12</v>
      </c>
      <c r="G19">
        <v>24.1</v>
      </c>
    </row>
    <row r="20" spans="2:7" x14ac:dyDescent="0.3">
      <c r="B20" t="s">
        <v>11</v>
      </c>
      <c r="C20">
        <v>276</v>
      </c>
      <c r="D20">
        <v>1</v>
      </c>
      <c r="E20">
        <v>0.1</v>
      </c>
      <c r="F20">
        <v>110.41200000000001</v>
      </c>
      <c r="G20">
        <v>125.32</v>
      </c>
    </row>
    <row r="21" spans="2:7" x14ac:dyDescent="0.3">
      <c r="B21" t="s">
        <v>12</v>
      </c>
      <c r="C21">
        <v>912</v>
      </c>
      <c r="D21">
        <v>4</v>
      </c>
      <c r="E21">
        <v>0.4</v>
      </c>
      <c r="F21">
        <v>-319.464</v>
      </c>
      <c r="G21">
        <v>107.1</v>
      </c>
    </row>
    <row r="22" spans="2:7" x14ac:dyDescent="0.3">
      <c r="B22" t="s">
        <v>13</v>
      </c>
      <c r="C22">
        <v>667</v>
      </c>
      <c r="D22">
        <v>4</v>
      </c>
      <c r="E22">
        <v>0</v>
      </c>
      <c r="F22">
        <v>253.32</v>
      </c>
      <c r="G22">
        <v>81.260000000000005</v>
      </c>
    </row>
    <row r="23" spans="2:7" x14ac:dyDescent="0.3">
      <c r="B23" t="s">
        <v>6</v>
      </c>
      <c r="C23">
        <v>408</v>
      </c>
      <c r="D23">
        <v>2</v>
      </c>
      <c r="E23">
        <v>0</v>
      </c>
      <c r="F23">
        <v>106.14</v>
      </c>
      <c r="G23">
        <v>35.46</v>
      </c>
    </row>
    <row r="24" spans="2:7" x14ac:dyDescent="0.3">
      <c r="B24" t="s">
        <v>7</v>
      </c>
      <c r="C24">
        <v>120</v>
      </c>
      <c r="D24">
        <v>3</v>
      </c>
      <c r="E24">
        <v>0.1</v>
      </c>
      <c r="F24">
        <v>36.036000000000001</v>
      </c>
      <c r="G24">
        <v>9.7200000000000006</v>
      </c>
    </row>
    <row r="25" spans="2:7" x14ac:dyDescent="0.3">
      <c r="B25" t="s">
        <v>14</v>
      </c>
      <c r="C25">
        <v>66</v>
      </c>
      <c r="D25">
        <v>4</v>
      </c>
      <c r="E25">
        <v>0</v>
      </c>
      <c r="F25">
        <v>29.64</v>
      </c>
      <c r="G25">
        <v>8.17</v>
      </c>
    </row>
    <row r="26" spans="2:7" x14ac:dyDescent="0.3">
      <c r="B26" t="s">
        <v>15</v>
      </c>
      <c r="C26">
        <v>45</v>
      </c>
      <c r="D26">
        <v>3</v>
      </c>
      <c r="E26">
        <v>0.5</v>
      </c>
      <c r="F26">
        <v>-26.055</v>
      </c>
      <c r="G26">
        <v>4.82</v>
      </c>
    </row>
    <row r="27" spans="2:7" x14ac:dyDescent="0.3">
      <c r="B27" t="s">
        <v>9</v>
      </c>
      <c r="C27">
        <v>114</v>
      </c>
      <c r="D27">
        <v>5</v>
      </c>
      <c r="E27">
        <v>0.1</v>
      </c>
      <c r="F27">
        <v>37.770000000000003</v>
      </c>
      <c r="G27">
        <v>4.7</v>
      </c>
    </row>
    <row r="28" spans="2:7" x14ac:dyDescent="0.3">
      <c r="B28" t="s">
        <v>8</v>
      </c>
      <c r="C28">
        <v>55</v>
      </c>
      <c r="D28">
        <v>2</v>
      </c>
      <c r="E28">
        <v>0.1</v>
      </c>
      <c r="F28">
        <v>15.342000000000001</v>
      </c>
      <c r="G28">
        <v>1.8</v>
      </c>
    </row>
    <row r="29" spans="2:7" x14ac:dyDescent="0.3">
      <c r="B29" t="s">
        <v>10</v>
      </c>
      <c r="C29">
        <v>314</v>
      </c>
      <c r="D29">
        <v>1</v>
      </c>
      <c r="E29">
        <v>0</v>
      </c>
      <c r="F29">
        <v>3.12</v>
      </c>
      <c r="G29">
        <v>24.1</v>
      </c>
    </row>
    <row r="30" spans="2:7" x14ac:dyDescent="0.3">
      <c r="B30" t="s">
        <v>11</v>
      </c>
      <c r="C30">
        <v>276</v>
      </c>
      <c r="D30">
        <v>1</v>
      </c>
      <c r="E30">
        <v>0.1</v>
      </c>
      <c r="F30">
        <v>110.41200000000001</v>
      </c>
      <c r="G30">
        <v>125.32</v>
      </c>
    </row>
    <row r="31" spans="2:7" x14ac:dyDescent="0.3">
      <c r="B31" t="s">
        <v>12</v>
      </c>
      <c r="C31">
        <v>912</v>
      </c>
      <c r="D31">
        <v>4</v>
      </c>
      <c r="E31">
        <v>0.4</v>
      </c>
      <c r="F31">
        <v>-319.464</v>
      </c>
      <c r="G31">
        <v>107.1</v>
      </c>
    </row>
    <row r="32" spans="2:7" x14ac:dyDescent="0.3">
      <c r="B32" t="s">
        <v>13</v>
      </c>
      <c r="C32">
        <v>667</v>
      </c>
      <c r="D32">
        <v>4</v>
      </c>
      <c r="E32">
        <v>0</v>
      </c>
      <c r="F32">
        <v>253.32</v>
      </c>
      <c r="G32">
        <v>81.260000000000005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2E805-4AE8-449F-889B-021518E37D38}">
  <sheetPr codeName="Sheet6"/>
  <dimension ref="A1:G31"/>
  <sheetViews>
    <sheetView tabSelected="1" zoomScale="145" zoomScaleNormal="145" workbookViewId="0">
      <selection activeCell="D6" sqref="D6"/>
    </sheetView>
  </sheetViews>
  <sheetFormatPr defaultRowHeight="15.6" x14ac:dyDescent="0.3"/>
  <cols>
    <col min="6" max="6" width="11.69921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</v>
      </c>
    </row>
    <row r="2" spans="1:7" x14ac:dyDescent="0.3">
      <c r="A2" t="s">
        <v>6</v>
      </c>
      <c r="B2">
        <v>408</v>
      </c>
      <c r="C2">
        <v>2</v>
      </c>
      <c r="D2">
        <v>0</v>
      </c>
      <c r="E2">
        <v>106.14</v>
      </c>
      <c r="F2">
        <v>35.46</v>
      </c>
      <c r="G2">
        <f>B2*C2</f>
        <v>816</v>
      </c>
    </row>
    <row r="3" spans="1:7" x14ac:dyDescent="0.3">
      <c r="A3" t="s">
        <v>7</v>
      </c>
      <c r="B3">
        <v>120</v>
      </c>
      <c r="C3">
        <v>3</v>
      </c>
      <c r="D3">
        <v>0.1</v>
      </c>
      <c r="E3">
        <v>36.036000000000001</v>
      </c>
      <c r="F3">
        <v>9.7200000000000006</v>
      </c>
      <c r="G3">
        <f t="shared" ref="G3:G31" si="0">B3*C3</f>
        <v>360</v>
      </c>
    </row>
    <row r="4" spans="1:7" x14ac:dyDescent="0.3">
      <c r="A4" t="s">
        <v>14</v>
      </c>
      <c r="B4">
        <v>66</v>
      </c>
      <c r="C4">
        <v>4</v>
      </c>
      <c r="D4">
        <v>0</v>
      </c>
      <c r="E4">
        <v>29.64</v>
      </c>
      <c r="F4">
        <v>8.17</v>
      </c>
      <c r="G4">
        <f t="shared" si="0"/>
        <v>264</v>
      </c>
    </row>
    <row r="5" spans="1:7" x14ac:dyDescent="0.3">
      <c r="A5" t="s">
        <v>15</v>
      </c>
      <c r="B5">
        <v>45</v>
      </c>
      <c r="C5">
        <v>3</v>
      </c>
      <c r="D5">
        <v>0.5</v>
      </c>
      <c r="E5">
        <v>-26.055</v>
      </c>
      <c r="F5">
        <v>4.82</v>
      </c>
      <c r="G5">
        <f t="shared" si="0"/>
        <v>135</v>
      </c>
    </row>
    <row r="6" spans="1:7" x14ac:dyDescent="0.3">
      <c r="A6" t="s">
        <v>9</v>
      </c>
      <c r="B6">
        <v>114</v>
      </c>
      <c r="C6">
        <v>5</v>
      </c>
      <c r="D6">
        <v>0.1</v>
      </c>
      <c r="E6">
        <v>37.770000000000003</v>
      </c>
      <c r="F6">
        <v>4.7</v>
      </c>
      <c r="G6">
        <f t="shared" si="0"/>
        <v>570</v>
      </c>
    </row>
    <row r="7" spans="1:7" x14ac:dyDescent="0.3">
      <c r="A7" t="s">
        <v>8</v>
      </c>
      <c r="B7">
        <v>55</v>
      </c>
      <c r="C7">
        <v>2</v>
      </c>
      <c r="D7">
        <v>0.1</v>
      </c>
      <c r="E7">
        <v>15.342000000000001</v>
      </c>
      <c r="F7">
        <v>1.8</v>
      </c>
      <c r="G7">
        <f t="shared" si="0"/>
        <v>110</v>
      </c>
    </row>
    <row r="8" spans="1:7" x14ac:dyDescent="0.3">
      <c r="A8" t="s">
        <v>10</v>
      </c>
      <c r="B8">
        <v>314</v>
      </c>
      <c r="C8">
        <v>1</v>
      </c>
      <c r="D8">
        <v>0</v>
      </c>
      <c r="E8">
        <v>3.12</v>
      </c>
      <c r="F8">
        <v>24.1</v>
      </c>
      <c r="G8">
        <f t="shared" si="0"/>
        <v>314</v>
      </c>
    </row>
    <row r="9" spans="1:7" x14ac:dyDescent="0.3">
      <c r="A9" t="s">
        <v>11</v>
      </c>
      <c r="B9">
        <v>276</v>
      </c>
      <c r="C9">
        <v>1</v>
      </c>
      <c r="D9">
        <v>0.1</v>
      </c>
      <c r="E9">
        <v>110.41200000000001</v>
      </c>
      <c r="F9">
        <v>125.32</v>
      </c>
      <c r="G9">
        <f t="shared" si="0"/>
        <v>276</v>
      </c>
    </row>
    <row r="10" spans="1:7" x14ac:dyDescent="0.3">
      <c r="A10" t="s">
        <v>12</v>
      </c>
      <c r="B10">
        <v>912</v>
      </c>
      <c r="C10">
        <v>4</v>
      </c>
      <c r="D10">
        <v>0.4</v>
      </c>
      <c r="E10">
        <v>-319.464</v>
      </c>
      <c r="F10">
        <v>107.1</v>
      </c>
      <c r="G10">
        <f t="shared" si="0"/>
        <v>3648</v>
      </c>
    </row>
    <row r="11" spans="1:7" x14ac:dyDescent="0.3">
      <c r="A11" t="s">
        <v>13</v>
      </c>
      <c r="B11">
        <v>667</v>
      </c>
      <c r="C11">
        <v>4</v>
      </c>
      <c r="D11">
        <v>0</v>
      </c>
      <c r="E11">
        <v>253.32</v>
      </c>
      <c r="F11">
        <v>81.260000000000005</v>
      </c>
      <c r="G11">
        <f t="shared" si="0"/>
        <v>2668</v>
      </c>
    </row>
    <row r="12" spans="1:7" x14ac:dyDescent="0.3">
      <c r="A12" t="s">
        <v>6</v>
      </c>
      <c r="B12">
        <v>408</v>
      </c>
      <c r="C12">
        <v>2</v>
      </c>
      <c r="D12">
        <v>0</v>
      </c>
      <c r="E12">
        <v>106.14</v>
      </c>
      <c r="F12">
        <v>35.46</v>
      </c>
      <c r="G12">
        <f t="shared" si="0"/>
        <v>816</v>
      </c>
    </row>
    <row r="13" spans="1:7" x14ac:dyDescent="0.3">
      <c r="A13" t="s">
        <v>7</v>
      </c>
      <c r="B13">
        <v>120</v>
      </c>
      <c r="C13">
        <v>3</v>
      </c>
      <c r="D13">
        <v>0.1</v>
      </c>
      <c r="E13">
        <v>36.036000000000001</v>
      </c>
      <c r="F13">
        <v>9.7200000000000006</v>
      </c>
      <c r="G13">
        <f t="shared" si="0"/>
        <v>360</v>
      </c>
    </row>
    <row r="14" spans="1:7" x14ac:dyDescent="0.3">
      <c r="A14" t="s">
        <v>14</v>
      </c>
      <c r="B14">
        <v>66</v>
      </c>
      <c r="C14">
        <v>4</v>
      </c>
      <c r="D14">
        <v>0</v>
      </c>
      <c r="E14">
        <v>29.64</v>
      </c>
      <c r="F14">
        <v>8.17</v>
      </c>
      <c r="G14">
        <f t="shared" si="0"/>
        <v>264</v>
      </c>
    </row>
    <row r="15" spans="1:7" x14ac:dyDescent="0.3">
      <c r="A15" t="s">
        <v>15</v>
      </c>
      <c r="B15">
        <v>45</v>
      </c>
      <c r="C15">
        <v>3</v>
      </c>
      <c r="D15">
        <v>0.5</v>
      </c>
      <c r="E15">
        <v>-26.055</v>
      </c>
      <c r="F15">
        <v>4.82</v>
      </c>
      <c r="G15">
        <f t="shared" si="0"/>
        <v>135</v>
      </c>
    </row>
    <row r="16" spans="1:7" x14ac:dyDescent="0.3">
      <c r="A16" t="s">
        <v>9</v>
      </c>
      <c r="B16">
        <v>114</v>
      </c>
      <c r="C16">
        <v>5</v>
      </c>
      <c r="D16">
        <v>0.1</v>
      </c>
      <c r="E16">
        <v>37.770000000000003</v>
      </c>
      <c r="F16">
        <v>4.7</v>
      </c>
      <c r="G16">
        <f t="shared" si="0"/>
        <v>570</v>
      </c>
    </row>
    <row r="17" spans="1:7" x14ac:dyDescent="0.3">
      <c r="A17" t="s">
        <v>8</v>
      </c>
      <c r="B17">
        <v>55</v>
      </c>
      <c r="C17">
        <v>2</v>
      </c>
      <c r="D17">
        <v>0.1</v>
      </c>
      <c r="E17">
        <v>15.342000000000001</v>
      </c>
      <c r="F17">
        <v>1.8</v>
      </c>
      <c r="G17">
        <f t="shared" si="0"/>
        <v>110</v>
      </c>
    </row>
    <row r="18" spans="1:7" x14ac:dyDescent="0.3">
      <c r="A18" t="s">
        <v>10</v>
      </c>
      <c r="B18">
        <v>314</v>
      </c>
      <c r="C18">
        <v>1</v>
      </c>
      <c r="D18">
        <v>0</v>
      </c>
      <c r="E18">
        <v>3.12</v>
      </c>
      <c r="F18">
        <v>24.1</v>
      </c>
      <c r="G18">
        <f t="shared" si="0"/>
        <v>314</v>
      </c>
    </row>
    <row r="19" spans="1:7" x14ac:dyDescent="0.3">
      <c r="A19" t="s">
        <v>11</v>
      </c>
      <c r="B19">
        <v>276</v>
      </c>
      <c r="C19">
        <v>1</v>
      </c>
      <c r="D19">
        <v>0.1</v>
      </c>
      <c r="E19">
        <v>110.41200000000001</v>
      </c>
      <c r="F19">
        <v>125.32</v>
      </c>
      <c r="G19">
        <f t="shared" si="0"/>
        <v>276</v>
      </c>
    </row>
    <row r="20" spans="1:7" x14ac:dyDescent="0.3">
      <c r="A20" t="s">
        <v>12</v>
      </c>
      <c r="B20">
        <v>912</v>
      </c>
      <c r="C20">
        <v>4</v>
      </c>
      <c r="D20">
        <v>0.4</v>
      </c>
      <c r="E20">
        <v>-319.464</v>
      </c>
      <c r="F20">
        <v>107.1</v>
      </c>
      <c r="G20">
        <f t="shared" si="0"/>
        <v>3648</v>
      </c>
    </row>
    <row r="21" spans="1:7" x14ac:dyDescent="0.3">
      <c r="A21" t="s">
        <v>13</v>
      </c>
      <c r="B21">
        <v>667</v>
      </c>
      <c r="C21">
        <v>4</v>
      </c>
      <c r="D21">
        <v>0</v>
      </c>
      <c r="E21">
        <v>253.32</v>
      </c>
      <c r="F21">
        <v>81.260000000000005</v>
      </c>
      <c r="G21">
        <f t="shared" si="0"/>
        <v>2668</v>
      </c>
    </row>
    <row r="22" spans="1:7" x14ac:dyDescent="0.3">
      <c r="A22" t="s">
        <v>6</v>
      </c>
      <c r="B22">
        <v>408</v>
      </c>
      <c r="C22">
        <v>2</v>
      </c>
      <c r="D22">
        <v>0</v>
      </c>
      <c r="E22">
        <v>106.14</v>
      </c>
      <c r="F22">
        <v>35.46</v>
      </c>
      <c r="G22">
        <f t="shared" si="0"/>
        <v>816</v>
      </c>
    </row>
    <row r="23" spans="1:7" x14ac:dyDescent="0.3">
      <c r="A23" t="s">
        <v>7</v>
      </c>
      <c r="B23">
        <v>120</v>
      </c>
      <c r="C23">
        <v>3</v>
      </c>
      <c r="D23">
        <v>0.1</v>
      </c>
      <c r="E23">
        <v>36.036000000000001</v>
      </c>
      <c r="F23">
        <v>9.7200000000000006</v>
      </c>
      <c r="G23">
        <f t="shared" si="0"/>
        <v>360</v>
      </c>
    </row>
    <row r="24" spans="1:7" x14ac:dyDescent="0.3">
      <c r="A24" t="s">
        <v>14</v>
      </c>
      <c r="B24">
        <v>66</v>
      </c>
      <c r="C24">
        <v>4</v>
      </c>
      <c r="D24">
        <v>0</v>
      </c>
      <c r="E24">
        <v>29.64</v>
      </c>
      <c r="F24">
        <v>8.17</v>
      </c>
      <c r="G24">
        <f t="shared" si="0"/>
        <v>264</v>
      </c>
    </row>
    <row r="25" spans="1:7" x14ac:dyDescent="0.3">
      <c r="G25">
        <f t="shared" si="0"/>
        <v>0</v>
      </c>
    </row>
    <row r="26" spans="1:7" x14ac:dyDescent="0.3">
      <c r="G26">
        <f t="shared" si="0"/>
        <v>0</v>
      </c>
    </row>
    <row r="27" spans="1:7" x14ac:dyDescent="0.3">
      <c r="G27">
        <f t="shared" si="0"/>
        <v>0</v>
      </c>
    </row>
    <row r="28" spans="1:7" x14ac:dyDescent="0.3">
      <c r="G28">
        <f t="shared" si="0"/>
        <v>0</v>
      </c>
    </row>
    <row r="29" spans="1:7" x14ac:dyDescent="0.3">
      <c r="G29">
        <f t="shared" si="0"/>
        <v>0</v>
      </c>
    </row>
    <row r="30" spans="1:7" x14ac:dyDescent="0.3">
      <c r="G30">
        <f t="shared" si="0"/>
        <v>0</v>
      </c>
    </row>
    <row r="31" spans="1:7" x14ac:dyDescent="0.3">
      <c r="G3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makode</dc:creator>
  <cp:lastModifiedBy>amit makode</cp:lastModifiedBy>
  <dcterms:created xsi:type="dcterms:W3CDTF">2024-11-12T13:16:27Z</dcterms:created>
  <dcterms:modified xsi:type="dcterms:W3CDTF">2024-11-12T14:04:48Z</dcterms:modified>
</cp:coreProperties>
</file>